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ta2\OneDrive\Desktop\cohort 138\assignment\Assignments\"/>
    </mc:Choice>
  </mc:AlternateContent>
  <xr:revisionPtr revIDLastSave="0" documentId="13_ncr:1_{B2118AF8-81BA-43BE-9A73-F89B5BECF2D2}" xr6:coauthVersionLast="47" xr6:coauthVersionMax="47" xr10:uidLastSave="{00000000-0000-0000-0000-000000000000}"/>
  <bookViews>
    <workbookView xWindow="-110" yWindow="-110" windowWidth="19420" windowHeight="10300" xr2:uid="{CC90496E-7CDE-4850-A527-9552DB1C9001}"/>
  </bookViews>
  <sheets>
    <sheet name="pivot table" sheetId="9" r:id="rId1"/>
    <sheet name="Assignment_Data7 to 10" sheetId="1" r:id="rId2"/>
    <sheet name="Summary statistics" sheetId="5" r:id="rId3"/>
    <sheet name="covariance " sheetId="6" r:id="rId4"/>
    <sheet name="Corelation" sheetId="8" r:id="rId5"/>
  </sheets>
  <definedNames>
    <definedName name="_xlchart.v1.0" hidden="1">'Assignment_Data7 to 10'!$D$101</definedName>
    <definedName name="_xlchart.v1.1" hidden="1">'Assignment_Data7 to 10'!$D$2:$D$100</definedName>
    <definedName name="_xlchart.v1.2" hidden="1">'Assignment_Data7 to 10'!$E$2:$E$101</definedName>
    <definedName name="_xlchart.v1.3" hidden="1">'Assignment_Data7 to 10'!$E$2:$E$101</definedName>
  </definedNames>
  <calcPr calcId="191029"/>
  <pivotCaches>
    <pivotCache cacheId="3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3" i="1" l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228" i="1"/>
  <c r="C229" i="1"/>
  <c r="C230" i="1"/>
  <c r="C231" i="1"/>
  <c r="C232" i="1"/>
  <c r="C227" i="1"/>
  <c r="B135" i="1"/>
  <c r="B134" i="1"/>
  <c r="B124" i="1"/>
  <c r="B123" i="1"/>
  <c r="B224" i="1"/>
  <c r="C119" i="1"/>
  <c r="C118" i="1"/>
  <c r="B8" i="6"/>
  <c r="C9" i="6"/>
  <c r="D10" i="6"/>
  <c r="E11" i="6"/>
  <c r="F12" i="6"/>
  <c r="B14" i="6"/>
  <c r="C15" i="6"/>
  <c r="D16" i="6"/>
  <c r="E17" i="6"/>
  <c r="F6" i="6"/>
  <c r="E5" i="6"/>
  <c r="D4" i="6"/>
  <c r="C3" i="6"/>
  <c r="B2" i="6"/>
  <c r="C220" i="1"/>
  <c r="A113" i="1"/>
  <c r="A112" i="1"/>
  <c r="A111" i="1"/>
  <c r="A110" i="1"/>
  <c r="F213" i="1"/>
  <c r="F211" i="1"/>
  <c r="F2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109" i="1"/>
  <c r="B106" i="1"/>
  <c r="A104" i="1"/>
  <c r="A103" i="1"/>
  <c r="A102" i="1"/>
</calcChain>
</file>

<file path=xl/sharedStrings.xml><?xml version="1.0" encoding="utf-8"?>
<sst xmlns="http://schemas.openxmlformats.org/spreadsheetml/2006/main" count="664" uniqueCount="109">
  <si>
    <t>Age</t>
  </si>
  <si>
    <t>Salary</t>
  </si>
  <si>
    <t>Purchase_Count</t>
  </si>
  <si>
    <t>Satisfaction_Score</t>
  </si>
  <si>
    <t>Visit_Frequency</t>
  </si>
  <si>
    <t>mode of age</t>
  </si>
  <si>
    <t>median of age</t>
  </si>
  <si>
    <t>mean  of age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</si>
  <si>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</si>
  <si>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</si>
  <si>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</si>
  <si>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</si>
  <si>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</si>
  <si>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</si>
  <si>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</si>
  <si>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</si>
  <si>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</si>
  <si>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standard deviation of salary</t>
  </si>
  <si>
    <t>salary</t>
  </si>
  <si>
    <t>deviation (x-xbar)</t>
  </si>
  <si>
    <t>deviation (x-xbar)^2</t>
  </si>
  <si>
    <t>SSD</t>
  </si>
  <si>
    <t>SD</t>
  </si>
  <si>
    <t>variance</t>
  </si>
  <si>
    <t>percentile for purchase count</t>
  </si>
  <si>
    <t>Q1</t>
  </si>
  <si>
    <t>q2</t>
  </si>
  <si>
    <t>q3</t>
  </si>
  <si>
    <t xml:space="preserve">min age </t>
  </si>
  <si>
    <t>max age</t>
  </si>
  <si>
    <t>min salary</t>
  </si>
  <si>
    <t>max salary</t>
  </si>
  <si>
    <t>IQR of purchase count</t>
  </si>
  <si>
    <t>Column 10</t>
  </si>
  <si>
    <t>Column 11</t>
  </si>
  <si>
    <t>Column 12</t>
  </si>
  <si>
    <t>Column1</t>
  </si>
  <si>
    <t>Column2</t>
  </si>
  <si>
    <t>Column3</t>
  </si>
  <si>
    <t>Column4</t>
  </si>
  <si>
    <t>Column5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</si>
  <si>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</si>
  <si>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</si>
  <si>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</si>
  <si>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</si>
  <si>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</si>
  <si>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</si>
  <si>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</si>
  <si>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</si>
  <si>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</si>
  <si>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</si>
  <si>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</si>
  <si>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</si>
  <si>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</si>
  <si>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 13</t>
  </si>
  <si>
    <t>Column 14</t>
  </si>
  <si>
    <t>Corelation</t>
  </si>
  <si>
    <t>covariance</t>
  </si>
  <si>
    <t>summary statistics</t>
  </si>
  <si>
    <t>kurtos of puchase count</t>
  </si>
  <si>
    <t xml:space="preserve">skew of purchase </t>
  </si>
  <si>
    <t>corelation beytween salary and satisfaction score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</si>
  <si>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</si>
  <si>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</si>
  <si>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</si>
  <si>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</si>
  <si>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</si>
  <si>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</si>
  <si>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</si>
  <si>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</si>
  <si>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Column 23</t>
  </si>
  <si>
    <t>Column 24</t>
  </si>
  <si>
    <t>Column 25</t>
  </si>
  <si>
    <t>Column 26</t>
  </si>
  <si>
    <t>Column 27</t>
  </si>
  <si>
    <t>Column 28</t>
  </si>
  <si>
    <t>Column 29</t>
  </si>
  <si>
    <t>Column 30</t>
  </si>
  <si>
    <t>skew of salary</t>
  </si>
  <si>
    <t>kurt of salar</t>
  </si>
  <si>
    <t>SD of satisfaction score</t>
  </si>
  <si>
    <t>avg of satisfaction score</t>
  </si>
  <si>
    <t>z score of satisfaction score</t>
  </si>
  <si>
    <t>Sum of Salary</t>
  </si>
  <si>
    <t>Average of Salary</t>
  </si>
  <si>
    <t>Grand Total</t>
  </si>
  <si>
    <t>age</t>
  </si>
  <si>
    <t>18-22</t>
  </si>
  <si>
    <t>23-27</t>
  </si>
  <si>
    <t>28-32</t>
  </si>
  <si>
    <t>33-37</t>
  </si>
  <si>
    <t>38-42</t>
  </si>
  <si>
    <t>43-47</t>
  </si>
  <si>
    <t>48-52</t>
  </si>
  <si>
    <t>53-57</t>
  </si>
  <si>
    <t>58-62</t>
  </si>
  <si>
    <t>63-67</t>
  </si>
  <si>
    <t>Sum of Purchase_Count</t>
  </si>
  <si>
    <t>satisfaction score</t>
  </si>
  <si>
    <t>Count of Visit_Frequency</t>
  </si>
  <si>
    <t>Min of Salary</t>
  </si>
  <si>
    <t>Max of Salary</t>
  </si>
  <si>
    <t xml:space="preserve">Average of Salary </t>
  </si>
  <si>
    <t>purchase count</t>
  </si>
  <si>
    <t>Create a pivot table to display the total Purchase_Count for each distinct Salary range bucket (e.g., 25k-50k, 50k-75k, etc.).</t>
  </si>
  <si>
    <t>Generate a pivot table that shows the minimum, maximum, and average Salary per Age group (e.g., 18-25, 26-35, etc.).</t>
  </si>
  <si>
    <t>Build a pivot table to show the count of records per Visit_Frequency value.</t>
  </si>
  <si>
    <t>Use a pivot table to sum the Purchase_Count for each Satisfaction_Score value.</t>
  </si>
  <si>
    <t>Create a pivot table to find the average Salary by each Category (group by Age groups if preferred).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</si>
</sst>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1" fontId="0" fillId="0" borderId="0" xfId="0" applyNumberFormat="1"/>
    <xf numFmtId="0" fontId="0" fillId="0" borderId="0" xfId="0" quotePrefix="1" applyNumberFormat="1"/>
    <xf numFmtId="0" fontId="0" fillId="0" borderId="0" xfId="0" applyFill="1" applyBorder="1" applyAlignment="1"/>
    <xf numFmtId="0" fontId="0" fillId="33" borderId="0" xfId="0" applyFill="1"/>
    <xf numFmtId="1" fontId="0" fillId="33" borderId="0" xfId="0" applyNumberFormat="1" applyFill="1"/>
    <xf numFmtId="9" fontId="0" fillId="33" borderId="0" xfId="0" applyNumberFormat="1" applyFill="1"/>
    <xf numFmtId="0" fontId="0" fillId="34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73" formatCode="&quot;₹&quot;\ #,##0.00"/>
    </dxf>
    <dxf>
      <numFmt numFmtId="34" formatCode="_ &quot;₹&quot;\ * #,##0.00_ ;_ &quot;₹&quot;\ * \-#,##0.00_ ;_ &quot;₹&quot;\ * &quot;-&quot;??_ ;_ @_ "/>
    </dxf>
    <dxf>
      <numFmt numFmtId="173" formatCode="&quot;₹&quot;\ 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_xlchart.v1.0</cx:f>
      </cx:numDim>
    </cx:data>
  </cx:chartData>
  <cx:chart>
    <cx:plotArea>
      <cx:plotAreaRegion>
        <cx:series layoutId="boxWhisker" uniqueId="{96B4C1F2-866A-41F7-A072-260EA7A48DDC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825B637C-2C46-42B7-BB87-D375F0FEE7C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434975</xdr:colOff>
      <xdr:row>89</xdr:row>
      <xdr:rowOff>57150</xdr:rowOff>
    </xdr:from>
    <xdr:to>
      <xdr:col>14</xdr:col>
      <xdr:colOff>130175</xdr:colOff>
      <xdr:row>103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9FB9ABA-4F0D-1311-E3DE-561E8AE060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21575" y="16446500"/>
              <a:ext cx="4572000" cy="2692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739775</xdr:colOff>
      <xdr:row>43</xdr:row>
      <xdr:rowOff>50800</xdr:rowOff>
    </xdr:from>
    <xdr:to>
      <xdr:col>12</xdr:col>
      <xdr:colOff>492125</xdr:colOff>
      <xdr:row>58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BC86E1FC-A6DD-3D41-F8CF-02D67EB8DB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4325" y="7969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kta Aggarwal" refreshedDate="46043.56977141204" createdVersion="8" refreshedVersion="8" minRefreshableVersion="3" recordCount="100" xr:uid="{2ECD4917-C963-4F0E-99DB-FAA5B2AD9F3E}">
  <cacheSource type="worksheet">
    <worksheetSource name="Table1"/>
  </cacheSource>
  <cacheFields count="5">
    <cacheField name="Age" numFmtId="0">
      <sharedItems containsSemiMixedTypes="0" containsString="0" containsNumber="1" containsInteger="1" minValue="18" maxValue="64" count="43">
        <n v="56"/>
        <n v="46"/>
        <n v="32"/>
        <n v="60"/>
        <n v="25"/>
        <n v="38"/>
        <n v="36"/>
        <n v="40"/>
        <n v="28"/>
        <n v="41"/>
        <n v="53"/>
        <n v="57"/>
        <n v="20"/>
        <n v="39"/>
        <n v="19"/>
        <n v="61"/>
        <n v="47"/>
        <n v="55"/>
        <n v="50"/>
        <n v="29"/>
        <n v="42"/>
        <n v="44"/>
        <n v="59"/>
        <n v="45"/>
        <n v="33"/>
        <n v="64"/>
        <n v="54"/>
        <n v="24"/>
        <n v="26"/>
        <n v="35"/>
        <n v="21"/>
        <n v="31"/>
        <n v="43"/>
        <n v="37"/>
        <n v="52"/>
        <n v="34"/>
        <n v="23"/>
        <n v="51"/>
        <n v="27"/>
        <n v="48"/>
        <n v="62"/>
        <n v="58"/>
        <n v="18"/>
      </sharedItems>
      <fieldGroup base="0">
        <rangePr startNum="18" endNum="64" groupInterval="5"/>
        <groupItems count="12">
          <s v="&lt;18"/>
          <s v="18-22"/>
          <s v="23-27"/>
          <s v="28-32"/>
          <s v="33-37"/>
          <s v="38-42"/>
          <s v="43-47"/>
          <s v="48-52"/>
          <s v="53-57"/>
          <s v="58-62"/>
          <s v="63-67"/>
          <s v="&gt;68"/>
        </groupItems>
      </fieldGroup>
    </cacheField>
    <cacheField name="Salary" numFmtId="0">
      <sharedItems containsSemiMixedTypes="0" containsString="0" containsNumber="1" containsInteger="1" minValue="27693" maxValue="179736" count="100">
        <n v="158767"/>
        <n v="149375"/>
        <n v="161330"/>
        <n v="64504"/>
        <n v="38986"/>
        <n v="86858"/>
        <n v="154312"/>
        <n v="37666"/>
        <n v="63660"/>
        <n v="159633"/>
        <n v="51854"/>
        <n v="89505"/>
        <n v="129488"/>
        <n v="47662"/>
        <n v="33392"/>
        <n v="55535"/>
        <n v="138569"/>
        <n v="77256"/>
        <n v="114135"/>
        <n v="152478"/>
        <n v="60222"/>
        <n v="102373"/>
        <n v="148684"/>
        <n v="35965"/>
        <n v="49538"/>
        <n v="133066"/>
        <n v="138252"/>
        <n v="164182"/>
        <n v="123806"/>
        <n v="162982"/>
        <n v="135989"/>
        <n v="115982"/>
        <n v="146626"/>
        <n v="144176"/>
        <n v="156278"/>
        <n v="147409"/>
        <n v="48419"/>
        <n v="75015"/>
        <n v="147096"/>
        <n v="132059"/>
        <n v="135687"/>
        <n v="112939"/>
        <n v="174213"/>
        <n v="130878"/>
        <n v="87623"/>
        <n v="100450"/>
        <n v="118426"/>
        <n v="142845"/>
        <n v="178371"/>
        <n v="68585"/>
        <n v="134225"/>
        <n v="89044"/>
        <n v="134556"/>
        <n v="27693"/>
        <n v="120259"/>
        <n v="50939"/>
        <n v="177906"/>
        <n v="43047"/>
        <n v="51105"/>
        <n v="100766"/>
        <n v="171779"/>
        <n v="178048"/>
        <n v="69262"/>
        <n v="150117"/>
        <n v="48776"/>
        <n v="153376"/>
        <n v="162848"/>
        <n v="117787"/>
        <n v="152948"/>
        <n v="80016"/>
        <n v="165546"/>
        <n v="46959"/>
        <n v="161602"/>
        <n v="144101"/>
        <n v="28748"/>
        <n v="38545"/>
        <n v="152659"/>
        <n v="98530"/>
        <n v="118557"/>
        <n v="86087"/>
        <n v="93840"/>
        <n v="143451"/>
        <n v="76005"/>
        <n v="64353"/>
        <n v="77733"/>
        <n v="90318"/>
        <n v="179736"/>
        <n v="92172"/>
        <n v="118264"/>
        <n v="51736"/>
        <n v="137859"/>
        <n v="137181"/>
        <n v="156926"/>
        <n v="115084"/>
        <n v="32392"/>
        <n v="80680"/>
        <n v="75859"/>
        <n v="150657"/>
        <n v="95467"/>
        <n v="123506"/>
      </sharedItems>
    </cacheField>
    <cacheField name="Purchase_Count" numFmtId="0">
      <sharedItems containsSemiMixedTypes="0" containsString="0" containsNumber="1" containsInteger="1" minValue="1" maxValue="49" count="41">
        <n v="17"/>
        <n v="38"/>
        <n v="24"/>
        <n v="5"/>
        <n v="34"/>
        <n v="6"/>
        <n v="22"/>
        <n v="11"/>
        <n v="48"/>
        <n v="16"/>
        <n v="33"/>
        <n v="9"/>
        <n v="29"/>
        <n v="3"/>
        <n v="20"/>
        <n v="36"/>
        <n v="19"/>
        <n v="26"/>
        <n v="32"/>
        <n v="7"/>
        <n v="41"/>
        <n v="40"/>
        <n v="39"/>
        <n v="18"/>
        <n v="1"/>
        <n v="28"/>
        <n v="25"/>
        <n v="23"/>
        <n v="31"/>
        <n v="30"/>
        <n v="42"/>
        <n v="35"/>
        <n v="49"/>
        <n v="2"/>
        <n v="12"/>
        <n v="37"/>
        <n v="8"/>
        <n v="46"/>
        <n v="4"/>
        <n v="14"/>
        <n v="21"/>
      </sharedItems>
    </cacheField>
    <cacheField name="Satisfaction_Score" numFmtId="0">
      <sharedItems containsSemiMixedTypes="0" containsString="0" containsNumber="1" minValue="1.0618264661154599" maxValue="4.9602154004170496" count="100">
        <n v="1.9759585735163301"/>
        <n v="4.8920422190097801"/>
        <n v="2.5723908986670398"/>
        <n v="4.5681862207084496"/>
        <n v="3.5245545039890498"/>
        <n v="4.1792452141665901"/>
        <n v="3.01054837242076"/>
        <n v="3.3076155385054302"/>
        <n v="2.9700707752754498"/>
        <n v="1.78097195119217"/>
        <n v="3.88980846104602"/>
        <n v="2.1230894497634201"/>
        <n v="1.09726386572581"/>
        <n v="3.5818891836286699"/>
        <n v="1.70844271762819"/>
        <n v="4.7618343374116501"/>
        <n v="4.8157143080103397"/>
        <n v="4.6594575608817896"/>
        <n v="2.48063480102177"/>
        <n v="1.0618264661154599"/>
        <n v="4.7132742503509002"/>
        <n v="2.7127365932692502"/>
        <n v="4.8666192761746698"/>
        <n v="4.8544799083570096"/>
        <n v="4.4120378218694398"/>
        <n v="2.1777955682783401"/>
        <n v="2.5403909144077002"/>
        <n v="4.4045466860674196"/>
        <n v="2.2676880206251102"/>
        <n v="1.67797098674437"/>
        <n v="3.2272050498334002"/>
        <n v="4.7446190966431203"/>
        <n v="3.7841191866998898"/>
        <n v="3.2802446803574599"/>
        <n v="1.3887059750830699"/>
        <n v="3.4600289067966701"/>
        <n v="4.9602154004170496"/>
        <n v="1.5603360609460899"/>
        <n v="3.0733186094549398"/>
        <n v="4.5094922877118204"/>
        <n v="3.9630744710168102"/>
        <n v="3.7880629639810701"/>
        <n v="3.80993633594843"/>
        <n v="2.4379646048790198"/>
        <n v="2.1743673770579699"/>
        <n v="4.23744462191405"/>
        <n v="4.2404535787167204"/>
        <n v="4.4682892743204103"/>
        <n v="4.6529622102258799"/>
        <n v="3.0453695954437499"/>
        <n v="3.00606517874879"/>
        <n v="4.1931807158670997"/>
        <n v="3.5998557231110602"/>
        <n v="3.8078675090308098"/>
        <n v="4.1831706777443998"/>
        <n v="4.5600213672702603"/>
        <n v="2.3519806274061401"/>
        <n v="2.5023318105597698"/>
        <n v="1.37592775936347"/>
        <n v="3.3131205639846901"/>
        <n v="1.1437690951869599"/>
        <n v="2.8623920725298402"/>
        <n v="3.1705785388302998"/>
        <n v="2.1461650085131301"/>
        <n v="3.3633330422760399"/>
        <n v="1.1220009997561899"/>
        <n v="1.1493927549968499"/>
        <n v="4.2904022426386303"/>
        <n v="2.4407625656450498"/>
        <n v="1.50824205060753"/>
        <n v="3.0889730402192099"/>
        <n v="4.0799742123944398"/>
        <n v="1.86328410998737"/>
        <n v="3.4915619032760001"/>
        <n v="1.34138985997507"/>
        <n v="1.2067268846744299"/>
        <n v="3.1254185262725902"/>
        <n v="3.1625404864404199"/>
        <n v="3.54971960599282"/>
        <n v="3.90436533489064"/>
        <n v="4.90340831785013"/>
        <n v="3.0652013932047799"/>
        <n v="2.2918258917649799"/>
        <n v="4.1807447790748098"/>
        <n v="2.0833290050482902"/>
        <n v="2.75588568282254"/>
        <n v="1.3138255253690601"/>
        <n v="1.10140297366183"/>
        <n v="4.8505936587117002"/>
        <n v="4.3439204820488202"/>
        <n v="3.7838968243747901"/>
        <n v="2.6358117776570702"/>
        <n v="1.69317728028338"/>
        <n v="1.62574817068434"/>
        <n v="2.00097159265838"/>
        <n v="3.1969066588244801"/>
        <n v="3.85838369080024"/>
        <n v="3.6407895068709202"/>
        <n v="2.11973558778377"/>
        <n v="4.8194611226527702"/>
      </sharedItems>
    </cacheField>
    <cacheField name="Visit_Frequency" numFmtId="0">
      <sharedItems containsSemiMixedTypes="0" containsString="0" containsNumber="1" containsInteger="1" minValue="1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n v="7"/>
  </r>
  <r>
    <x v="1"/>
    <x v="1"/>
    <x v="1"/>
    <x v="1"/>
    <n v="5"/>
  </r>
  <r>
    <x v="2"/>
    <x v="2"/>
    <x v="2"/>
    <x v="2"/>
    <n v="3"/>
  </r>
  <r>
    <x v="3"/>
    <x v="3"/>
    <x v="3"/>
    <x v="3"/>
    <n v="12"/>
  </r>
  <r>
    <x v="4"/>
    <x v="4"/>
    <x v="4"/>
    <x v="4"/>
    <n v="16"/>
  </r>
  <r>
    <x v="5"/>
    <x v="5"/>
    <x v="5"/>
    <x v="5"/>
    <n v="19"/>
  </r>
  <r>
    <x v="0"/>
    <x v="6"/>
    <x v="6"/>
    <x v="6"/>
    <n v="5"/>
  </r>
  <r>
    <x v="6"/>
    <x v="7"/>
    <x v="7"/>
    <x v="7"/>
    <n v="14"/>
  </r>
  <r>
    <x v="7"/>
    <x v="8"/>
    <x v="8"/>
    <x v="8"/>
    <n v="5"/>
  </r>
  <r>
    <x v="8"/>
    <x v="9"/>
    <x v="9"/>
    <x v="9"/>
    <n v="15"/>
  </r>
  <r>
    <x v="8"/>
    <x v="10"/>
    <x v="10"/>
    <x v="10"/>
    <n v="17"/>
  </r>
  <r>
    <x v="9"/>
    <x v="11"/>
    <x v="11"/>
    <x v="11"/>
    <n v="14"/>
  </r>
  <r>
    <x v="10"/>
    <x v="12"/>
    <x v="5"/>
    <x v="12"/>
    <n v="5"/>
  </r>
  <r>
    <x v="11"/>
    <x v="13"/>
    <x v="9"/>
    <x v="13"/>
    <n v="12"/>
  </r>
  <r>
    <x v="9"/>
    <x v="14"/>
    <x v="12"/>
    <x v="14"/>
    <n v="16"/>
  </r>
  <r>
    <x v="12"/>
    <x v="15"/>
    <x v="13"/>
    <x v="15"/>
    <n v="16"/>
  </r>
  <r>
    <x v="13"/>
    <x v="16"/>
    <x v="14"/>
    <x v="16"/>
    <n v="7"/>
  </r>
  <r>
    <x v="14"/>
    <x v="17"/>
    <x v="15"/>
    <x v="17"/>
    <n v="4"/>
  </r>
  <r>
    <x v="9"/>
    <x v="18"/>
    <x v="16"/>
    <x v="18"/>
    <n v="1"/>
  </r>
  <r>
    <x v="15"/>
    <x v="19"/>
    <x v="17"/>
    <x v="19"/>
    <n v="5"/>
  </r>
  <r>
    <x v="16"/>
    <x v="20"/>
    <x v="13"/>
    <x v="20"/>
    <n v="10"/>
  </r>
  <r>
    <x v="17"/>
    <x v="21"/>
    <x v="16"/>
    <x v="21"/>
    <n v="5"/>
  </r>
  <r>
    <x v="14"/>
    <x v="22"/>
    <x v="14"/>
    <x v="22"/>
    <n v="4"/>
  </r>
  <r>
    <x v="5"/>
    <x v="23"/>
    <x v="18"/>
    <x v="23"/>
    <n v="2"/>
  </r>
  <r>
    <x v="18"/>
    <x v="24"/>
    <x v="19"/>
    <x v="24"/>
    <n v="10"/>
  </r>
  <r>
    <x v="19"/>
    <x v="25"/>
    <x v="20"/>
    <x v="25"/>
    <n v="19"/>
  </r>
  <r>
    <x v="13"/>
    <x v="26"/>
    <x v="10"/>
    <x v="26"/>
    <n v="1"/>
  </r>
  <r>
    <x v="15"/>
    <x v="27"/>
    <x v="21"/>
    <x v="27"/>
    <n v="5"/>
  </r>
  <r>
    <x v="20"/>
    <x v="28"/>
    <x v="22"/>
    <x v="28"/>
    <n v="13"/>
  </r>
  <r>
    <x v="21"/>
    <x v="29"/>
    <x v="23"/>
    <x v="29"/>
    <n v="4"/>
  </r>
  <r>
    <x v="22"/>
    <x v="30"/>
    <x v="21"/>
    <x v="30"/>
    <n v="16"/>
  </r>
  <r>
    <x v="23"/>
    <x v="31"/>
    <x v="24"/>
    <x v="31"/>
    <n v="16"/>
  </r>
  <r>
    <x v="24"/>
    <x v="32"/>
    <x v="7"/>
    <x v="32"/>
    <n v="2"/>
  </r>
  <r>
    <x v="2"/>
    <x v="33"/>
    <x v="25"/>
    <x v="33"/>
    <n v="17"/>
  </r>
  <r>
    <x v="25"/>
    <x v="34"/>
    <x v="26"/>
    <x v="34"/>
    <n v="12"/>
  </r>
  <r>
    <x v="15"/>
    <x v="35"/>
    <x v="27"/>
    <x v="35"/>
    <n v="18"/>
  </r>
  <r>
    <x v="12"/>
    <x v="36"/>
    <x v="28"/>
    <x v="36"/>
    <n v="3"/>
  </r>
  <r>
    <x v="26"/>
    <x v="37"/>
    <x v="29"/>
    <x v="37"/>
    <n v="1"/>
  </r>
  <r>
    <x v="27"/>
    <x v="38"/>
    <x v="30"/>
    <x v="38"/>
    <n v="1"/>
  </r>
  <r>
    <x v="5"/>
    <x v="39"/>
    <x v="31"/>
    <x v="39"/>
    <n v="19"/>
  </r>
  <r>
    <x v="28"/>
    <x v="40"/>
    <x v="19"/>
    <x v="40"/>
    <n v="11"/>
  </r>
  <r>
    <x v="0"/>
    <x v="41"/>
    <x v="9"/>
    <x v="41"/>
    <n v="5"/>
  </r>
  <r>
    <x v="29"/>
    <x v="42"/>
    <x v="17"/>
    <x v="42"/>
    <n v="12"/>
  </r>
  <r>
    <x v="30"/>
    <x v="43"/>
    <x v="8"/>
    <x v="43"/>
    <n v="3"/>
  </r>
  <r>
    <x v="20"/>
    <x v="44"/>
    <x v="32"/>
    <x v="44"/>
    <n v="1"/>
  </r>
  <r>
    <x v="31"/>
    <x v="45"/>
    <x v="33"/>
    <x v="45"/>
    <n v="1"/>
  </r>
  <r>
    <x v="28"/>
    <x v="46"/>
    <x v="24"/>
    <x v="46"/>
    <n v="8"/>
  </r>
  <r>
    <x v="32"/>
    <x v="47"/>
    <x v="8"/>
    <x v="47"/>
    <n v="10"/>
  </r>
  <r>
    <x v="14"/>
    <x v="48"/>
    <x v="34"/>
    <x v="48"/>
    <n v="11"/>
  </r>
  <r>
    <x v="33"/>
    <x v="49"/>
    <x v="3"/>
    <x v="49"/>
    <n v="12"/>
  </r>
  <r>
    <x v="23"/>
    <x v="50"/>
    <x v="35"/>
    <x v="50"/>
    <n v="13"/>
  </r>
  <r>
    <x v="25"/>
    <x v="51"/>
    <x v="18"/>
    <x v="51"/>
    <n v="12"/>
  </r>
  <r>
    <x v="27"/>
    <x v="52"/>
    <x v="11"/>
    <x v="52"/>
    <n v="14"/>
  </r>
  <r>
    <x v="15"/>
    <x v="53"/>
    <x v="20"/>
    <x v="53"/>
    <n v="2"/>
  </r>
  <r>
    <x v="4"/>
    <x v="54"/>
    <x v="31"/>
    <x v="54"/>
    <n v="19"/>
  </r>
  <r>
    <x v="25"/>
    <x v="55"/>
    <x v="16"/>
    <x v="55"/>
    <n v="18"/>
  </r>
  <r>
    <x v="34"/>
    <x v="56"/>
    <x v="8"/>
    <x v="56"/>
    <n v="3"/>
  </r>
  <r>
    <x v="31"/>
    <x v="57"/>
    <x v="9"/>
    <x v="57"/>
    <n v="17"/>
  </r>
  <r>
    <x v="35"/>
    <x v="58"/>
    <x v="13"/>
    <x v="58"/>
    <n v="8"/>
  </r>
  <r>
    <x v="10"/>
    <x v="59"/>
    <x v="14"/>
    <x v="59"/>
    <n v="10"/>
  </r>
  <r>
    <x v="11"/>
    <x v="60"/>
    <x v="2"/>
    <x v="60"/>
    <n v="2"/>
  </r>
  <r>
    <x v="30"/>
    <x v="61"/>
    <x v="10"/>
    <x v="61"/>
    <n v="19"/>
  </r>
  <r>
    <x v="14"/>
    <x v="62"/>
    <x v="2"/>
    <x v="62"/>
    <n v="9"/>
  </r>
  <r>
    <x v="36"/>
    <x v="63"/>
    <x v="7"/>
    <x v="63"/>
    <n v="7"/>
  </r>
  <r>
    <x v="22"/>
    <x v="64"/>
    <x v="32"/>
    <x v="64"/>
    <n v="4"/>
  </r>
  <r>
    <x v="30"/>
    <x v="65"/>
    <x v="36"/>
    <x v="65"/>
    <n v="18"/>
  </r>
  <r>
    <x v="1"/>
    <x v="66"/>
    <x v="15"/>
    <x v="66"/>
    <n v="13"/>
  </r>
  <r>
    <x v="29"/>
    <x v="67"/>
    <x v="1"/>
    <x v="67"/>
    <n v="11"/>
  </r>
  <r>
    <x v="32"/>
    <x v="68"/>
    <x v="21"/>
    <x v="68"/>
    <n v="4"/>
  </r>
  <r>
    <x v="15"/>
    <x v="69"/>
    <x v="14"/>
    <x v="69"/>
    <n v="4"/>
  </r>
  <r>
    <x v="37"/>
    <x v="70"/>
    <x v="31"/>
    <x v="70"/>
    <n v="10"/>
  </r>
  <r>
    <x v="38"/>
    <x v="71"/>
    <x v="8"/>
    <x v="71"/>
    <n v="5"/>
  </r>
  <r>
    <x v="10"/>
    <x v="72"/>
    <x v="26"/>
    <x v="72"/>
    <n v="9"/>
  </r>
  <r>
    <x v="31"/>
    <x v="73"/>
    <x v="31"/>
    <x v="73"/>
    <n v="3"/>
  </r>
  <r>
    <x v="39"/>
    <x v="74"/>
    <x v="26"/>
    <x v="74"/>
    <n v="17"/>
  </r>
  <r>
    <x v="2"/>
    <x v="75"/>
    <x v="12"/>
    <x v="75"/>
    <n v="3"/>
  </r>
  <r>
    <x v="4"/>
    <x v="76"/>
    <x v="23"/>
    <x v="76"/>
    <n v="16"/>
  </r>
  <r>
    <x v="31"/>
    <x v="77"/>
    <x v="37"/>
    <x v="77"/>
    <n v="4"/>
  </r>
  <r>
    <x v="7"/>
    <x v="78"/>
    <x v="23"/>
    <x v="78"/>
    <n v="18"/>
  </r>
  <r>
    <x v="11"/>
    <x v="79"/>
    <x v="33"/>
    <x v="79"/>
    <n v="17"/>
  </r>
  <r>
    <x v="5"/>
    <x v="80"/>
    <x v="31"/>
    <x v="80"/>
    <n v="7"/>
  </r>
  <r>
    <x v="24"/>
    <x v="81"/>
    <x v="9"/>
    <x v="81"/>
    <n v="5"/>
  </r>
  <r>
    <x v="40"/>
    <x v="82"/>
    <x v="20"/>
    <x v="82"/>
    <n v="12"/>
  </r>
  <r>
    <x v="29"/>
    <x v="83"/>
    <x v="15"/>
    <x v="83"/>
    <n v="17"/>
  </r>
  <r>
    <x v="25"/>
    <x v="84"/>
    <x v="10"/>
    <x v="84"/>
    <n v="13"/>
  </r>
  <r>
    <x v="9"/>
    <x v="85"/>
    <x v="38"/>
    <x v="85"/>
    <n v="3"/>
  </r>
  <r>
    <x v="32"/>
    <x v="86"/>
    <x v="10"/>
    <x v="86"/>
    <n v="9"/>
  </r>
  <r>
    <x v="20"/>
    <x v="87"/>
    <x v="39"/>
    <x v="87"/>
    <n v="17"/>
  </r>
  <r>
    <x v="40"/>
    <x v="88"/>
    <x v="40"/>
    <x v="88"/>
    <n v="17"/>
  </r>
  <r>
    <x v="41"/>
    <x v="89"/>
    <x v="8"/>
    <x v="89"/>
    <n v="16"/>
  </r>
  <r>
    <x v="1"/>
    <x v="90"/>
    <x v="14"/>
    <x v="90"/>
    <n v="13"/>
  </r>
  <r>
    <x v="2"/>
    <x v="91"/>
    <x v="36"/>
    <x v="91"/>
    <n v="19"/>
  </r>
  <r>
    <x v="40"/>
    <x v="92"/>
    <x v="19"/>
    <x v="92"/>
    <n v="17"/>
  </r>
  <r>
    <x v="42"/>
    <x v="93"/>
    <x v="13"/>
    <x v="93"/>
    <n v="4"/>
  </r>
  <r>
    <x v="20"/>
    <x v="94"/>
    <x v="0"/>
    <x v="94"/>
    <n v="12"/>
  </r>
  <r>
    <x v="27"/>
    <x v="95"/>
    <x v="10"/>
    <x v="95"/>
    <n v="9"/>
  </r>
  <r>
    <x v="28"/>
    <x v="96"/>
    <x v="8"/>
    <x v="96"/>
    <n v="19"/>
  </r>
  <r>
    <x v="9"/>
    <x v="97"/>
    <x v="34"/>
    <x v="97"/>
    <n v="12"/>
  </r>
  <r>
    <x v="42"/>
    <x v="98"/>
    <x v="6"/>
    <x v="98"/>
    <n v="9"/>
  </r>
  <r>
    <x v="15"/>
    <x v="99"/>
    <x v="6"/>
    <x v="99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D4C27-9F76-4854-A5F1-F0147D9801B2}" name="PivotTable13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urchase count">
  <location ref="C146:D188" firstHeaderRow="1" firstDataRow="1" firstDataCol="1"/>
  <pivotFields count="5">
    <pivotField showAll="0"/>
    <pivotField dataField="1" showAll="0">
      <items count="101">
        <item x="53"/>
        <item x="74"/>
        <item x="94"/>
        <item x="14"/>
        <item x="23"/>
        <item x="7"/>
        <item x="75"/>
        <item x="4"/>
        <item x="57"/>
        <item x="71"/>
        <item x="13"/>
        <item x="36"/>
        <item x="64"/>
        <item x="24"/>
        <item x="55"/>
        <item x="58"/>
        <item x="89"/>
        <item x="10"/>
        <item x="15"/>
        <item x="20"/>
        <item x="8"/>
        <item x="83"/>
        <item x="3"/>
        <item x="49"/>
        <item x="62"/>
        <item x="37"/>
        <item x="96"/>
        <item x="82"/>
        <item x="17"/>
        <item x="84"/>
        <item x="69"/>
        <item x="95"/>
        <item x="79"/>
        <item x="5"/>
        <item x="44"/>
        <item x="51"/>
        <item x="11"/>
        <item x="85"/>
        <item x="87"/>
        <item x="80"/>
        <item x="98"/>
        <item x="77"/>
        <item x="45"/>
        <item x="59"/>
        <item x="21"/>
        <item x="41"/>
        <item x="18"/>
        <item x="93"/>
        <item x="31"/>
        <item x="67"/>
        <item x="88"/>
        <item x="46"/>
        <item x="78"/>
        <item x="54"/>
        <item x="99"/>
        <item x="28"/>
        <item x="12"/>
        <item x="43"/>
        <item x="39"/>
        <item x="25"/>
        <item x="50"/>
        <item x="52"/>
        <item x="40"/>
        <item x="30"/>
        <item x="91"/>
        <item x="90"/>
        <item x="26"/>
        <item x="16"/>
        <item x="47"/>
        <item x="81"/>
        <item x="73"/>
        <item x="33"/>
        <item x="32"/>
        <item x="38"/>
        <item x="35"/>
        <item x="22"/>
        <item x="1"/>
        <item x="63"/>
        <item x="97"/>
        <item x="19"/>
        <item x="76"/>
        <item x="68"/>
        <item x="65"/>
        <item x="6"/>
        <item x="34"/>
        <item x="92"/>
        <item x="0"/>
        <item x="9"/>
        <item x="2"/>
        <item x="72"/>
        <item x="66"/>
        <item x="29"/>
        <item x="27"/>
        <item x="70"/>
        <item x="60"/>
        <item x="42"/>
        <item x="56"/>
        <item x="61"/>
        <item x="48"/>
        <item x="86"/>
        <item t="default"/>
      </items>
    </pivotField>
    <pivotField axis="axisRow" showAll="0">
      <items count="42">
        <item x="24"/>
        <item x="33"/>
        <item x="13"/>
        <item x="38"/>
        <item x="3"/>
        <item x="5"/>
        <item x="19"/>
        <item x="36"/>
        <item x="11"/>
        <item x="7"/>
        <item x="34"/>
        <item x="39"/>
        <item x="9"/>
        <item x="0"/>
        <item x="23"/>
        <item x="16"/>
        <item x="14"/>
        <item x="40"/>
        <item x="6"/>
        <item x="27"/>
        <item x="2"/>
        <item x="26"/>
        <item x="17"/>
        <item x="25"/>
        <item x="12"/>
        <item x="29"/>
        <item x="28"/>
        <item x="18"/>
        <item x="10"/>
        <item x="4"/>
        <item x="31"/>
        <item x="15"/>
        <item x="35"/>
        <item x="1"/>
        <item x="22"/>
        <item x="21"/>
        <item x="20"/>
        <item x="30"/>
        <item x="37"/>
        <item x="8"/>
        <item x="32"/>
        <item t="default"/>
      </items>
    </pivotField>
    <pivotField showAll="0"/>
    <pivotField showAll="0"/>
  </pivotFields>
  <rowFields count="1">
    <field x="2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Salary" fld="1" baseField="0" baseItem="0" numFmtId="44"/>
  </dataFields>
  <formats count="2">
    <format dxfId="0">
      <pivotArea collapsedLevelsAreSubtotals="1" fieldPosition="0">
        <references count="1">
          <reference field="2" count="1">
            <x v="1"/>
          </reference>
        </references>
      </pivotArea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9037D-D5DF-4036-B84C-F53ECC734A43}" name="PivotTable1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ge">
  <location ref="C125:F136" firstHeaderRow="0" firstDataRow="1" firstDataCol="1"/>
  <pivotFields count="5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Salary" fld="1" subtotal="min" baseField="0" baseItem="1"/>
    <dataField name="Max of Salary" fld="1" subtotal="max" baseField="0" baseItem="3"/>
    <dataField name="Average of Salary " fld="1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3C2A8-2EA4-4A5B-80DA-614D29E200BE}" name="PivotTable1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ge">
  <location ref="B114:B115" firstHeaderRow="1" firstDataRow="1" firstDataCol="0"/>
  <pivotFields count="5"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Count of Visit_Frequency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87021-98CF-4F37-A848-B93D6CF6A7C6}" name="PivotTable10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atisfaction score">
  <location ref="E4:F105" firstHeaderRow="1" firstDataRow="1" firstDataCol="1"/>
  <pivotFields count="5">
    <pivotField showAll="0"/>
    <pivotField showAll="0"/>
    <pivotField dataField="1" showAll="0"/>
    <pivotField axis="axisRow" showAll="0" countASubtotal="1">
      <items count="101">
        <item x="19"/>
        <item x="12"/>
        <item x="87"/>
        <item x="65"/>
        <item x="60"/>
        <item x="66"/>
        <item x="75"/>
        <item x="86"/>
        <item x="74"/>
        <item x="58"/>
        <item x="34"/>
        <item x="69"/>
        <item x="37"/>
        <item x="93"/>
        <item x="29"/>
        <item x="92"/>
        <item x="14"/>
        <item x="9"/>
        <item x="72"/>
        <item x="0"/>
        <item x="94"/>
        <item x="84"/>
        <item x="98"/>
        <item x="11"/>
        <item x="63"/>
        <item x="44"/>
        <item x="25"/>
        <item x="28"/>
        <item x="82"/>
        <item x="56"/>
        <item x="43"/>
        <item x="68"/>
        <item x="18"/>
        <item x="57"/>
        <item x="26"/>
        <item x="2"/>
        <item x="91"/>
        <item x="21"/>
        <item x="85"/>
        <item x="61"/>
        <item x="8"/>
        <item x="50"/>
        <item x="6"/>
        <item x="49"/>
        <item x="81"/>
        <item x="38"/>
        <item x="70"/>
        <item x="76"/>
        <item x="77"/>
        <item x="62"/>
        <item x="95"/>
        <item x="30"/>
        <item x="33"/>
        <item x="7"/>
        <item x="59"/>
        <item x="64"/>
        <item x="35"/>
        <item x="73"/>
        <item x="4"/>
        <item x="78"/>
        <item x="13"/>
        <item x="52"/>
        <item x="97"/>
        <item x="90"/>
        <item x="32"/>
        <item x="41"/>
        <item x="53"/>
        <item x="42"/>
        <item x="96"/>
        <item x="10"/>
        <item x="79"/>
        <item x="40"/>
        <item x="71"/>
        <item x="5"/>
        <item x="83"/>
        <item x="54"/>
        <item x="51"/>
        <item x="45"/>
        <item x="46"/>
        <item x="67"/>
        <item x="89"/>
        <item x="27"/>
        <item x="24"/>
        <item x="47"/>
        <item x="39"/>
        <item x="55"/>
        <item x="3"/>
        <item x="48"/>
        <item x="17"/>
        <item x="20"/>
        <item x="31"/>
        <item x="15"/>
        <item x="16"/>
        <item x="99"/>
        <item x="88"/>
        <item x="23"/>
        <item x="22"/>
        <item x="1"/>
        <item x="80"/>
        <item x="36"/>
        <item t="countA"/>
      </items>
    </pivotField>
    <pivotField showAll="0"/>
  </pivotFields>
  <rowFields count="1">
    <field x="3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Purchase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4CC66-F00A-413F-B0BF-70915B1A1CC8}" name="PivotTable9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ge">
  <location ref="A3:B14" firstHeaderRow="1" firstDataRow="1" firstDataCol="1"/>
  <pivotFields count="5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Salary" fld="1" subtotal="average" baseField="0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D07BEA-DBB8-409C-AAA6-94DC5CCFC22A}" name="Table1" displayName="Table1" ref="A1:E101" totalsRowShown="0">
  <autoFilter ref="A1:E101" xr:uid="{4FD07BEA-DBB8-409C-AAA6-94DC5CCFC22A}"/>
  <tableColumns count="5">
    <tableColumn id="1" xr3:uid="{03E21DFE-4D00-41AD-87FB-8D13FB2641A9}" name="Age"/>
    <tableColumn id="2" xr3:uid="{44CBF062-EF1A-41A7-BC86-674ACF58089F}" name="Salary"/>
    <tableColumn id="3" xr3:uid="{98BF0C34-97C5-44B3-9D4F-6DCBD3FE4936}" name="Purchase_Count"/>
    <tableColumn id="4" xr3:uid="{3E73464F-269F-4AB4-8D2E-F5D87FB358F2}" name="Satisfaction_Score" dataDxfId="3"/>
    <tableColumn id="5" xr3:uid="{59936347-ACCE-49C2-9627-6F4BCAA07784}" name="Visit_Frequ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F044-D217-4E10-B19B-87F86FD5F8A5}">
  <dimension ref="A1:F188"/>
  <sheetViews>
    <sheetView tabSelected="1" workbookViewId="0">
      <selection activeCell="A192" sqref="A192:E199"/>
    </sheetView>
  </sheetViews>
  <sheetFormatPr defaultRowHeight="14.5" x14ac:dyDescent="0.35"/>
  <cols>
    <col min="1" max="1" width="10.36328125" bestFit="1" customWidth="1"/>
    <col min="2" max="2" width="21.90625" bestFit="1" customWidth="1"/>
    <col min="3" max="3" width="20.1796875" bestFit="1" customWidth="1"/>
    <col min="4" max="4" width="15.1796875" bestFit="1" customWidth="1"/>
    <col min="5" max="5" width="13.90625" customWidth="1"/>
    <col min="6" max="6" width="12.90625" customWidth="1"/>
    <col min="7" max="7" width="5.81640625" bestFit="1" customWidth="1"/>
    <col min="8" max="14" width="6.81640625" bestFit="1" customWidth="1"/>
    <col min="15" max="15" width="5.81640625" bestFit="1" customWidth="1"/>
    <col min="16" max="27" width="6.81640625" bestFit="1" customWidth="1"/>
    <col min="28" max="30" width="5.81640625" bestFit="1" customWidth="1"/>
    <col min="31" max="32" width="6.81640625" bestFit="1" customWidth="1"/>
    <col min="33" max="33" width="5.81640625" bestFit="1" customWidth="1"/>
    <col min="34" max="41" width="6.81640625" bestFit="1" customWidth="1"/>
    <col min="42" max="42" width="5.81640625" bestFit="1" customWidth="1"/>
    <col min="43" max="44" width="6.81640625" bestFit="1" customWidth="1"/>
    <col min="45" max="45" width="10.36328125" bestFit="1" customWidth="1"/>
  </cols>
  <sheetData>
    <row r="1" spans="1:6" x14ac:dyDescent="0.35">
      <c r="A1" t="s">
        <v>108</v>
      </c>
    </row>
    <row r="2" spans="1:6" x14ac:dyDescent="0.35">
      <c r="E2" t="s">
        <v>107</v>
      </c>
    </row>
    <row r="3" spans="1:6" x14ac:dyDescent="0.35">
      <c r="A3" s="11" t="s">
        <v>86</v>
      </c>
      <c r="B3" t="s">
        <v>84</v>
      </c>
    </row>
    <row r="4" spans="1:6" x14ac:dyDescent="0.35">
      <c r="A4" s="12" t="s">
        <v>87</v>
      </c>
      <c r="B4" s="10">
        <v>113670.90909090909</v>
      </c>
      <c r="E4" s="11" t="s">
        <v>98</v>
      </c>
      <c r="F4" t="s">
        <v>97</v>
      </c>
    </row>
    <row r="5" spans="1:6" x14ac:dyDescent="0.35">
      <c r="A5" s="12" t="s">
        <v>88</v>
      </c>
      <c r="B5" s="10">
        <v>109207.63636363637</v>
      </c>
      <c r="E5" s="12">
        <v>1.0618264661154599</v>
      </c>
      <c r="F5" s="10">
        <v>26</v>
      </c>
    </row>
    <row r="6" spans="1:6" x14ac:dyDescent="0.35">
      <c r="A6" s="12" t="s">
        <v>89</v>
      </c>
      <c r="B6" s="10">
        <v>110173.90909090909</v>
      </c>
      <c r="E6" s="12">
        <v>1.09726386572581</v>
      </c>
      <c r="F6" s="10">
        <v>6</v>
      </c>
    </row>
    <row r="7" spans="1:6" x14ac:dyDescent="0.35">
      <c r="A7" s="12" t="s">
        <v>90</v>
      </c>
      <c r="B7" s="10">
        <v>100473.25</v>
      </c>
      <c r="E7" s="12">
        <v>1.10140297366183</v>
      </c>
      <c r="F7" s="10">
        <v>14</v>
      </c>
    </row>
    <row r="8" spans="1:6" x14ac:dyDescent="0.35">
      <c r="A8" s="12" t="s">
        <v>91</v>
      </c>
      <c r="B8" s="10">
        <v>95397.647058823524</v>
      </c>
      <c r="E8" s="12">
        <v>1.1220009997561899</v>
      </c>
      <c r="F8" s="10">
        <v>8</v>
      </c>
    </row>
    <row r="9" spans="1:6" x14ac:dyDescent="0.35">
      <c r="A9" s="12" t="s">
        <v>92</v>
      </c>
      <c r="B9" s="10">
        <v>139902.20000000001</v>
      </c>
      <c r="E9" s="12">
        <v>1.1437690951869599</v>
      </c>
      <c r="F9" s="10">
        <v>24</v>
      </c>
    </row>
    <row r="10" spans="1:6" x14ac:dyDescent="0.35">
      <c r="A10" s="12" t="s">
        <v>93</v>
      </c>
      <c r="B10" s="10">
        <v>105434.5</v>
      </c>
      <c r="E10" s="12">
        <v>1.1493927549968499</v>
      </c>
      <c r="F10" s="10">
        <v>36</v>
      </c>
    </row>
    <row r="11" spans="1:6" x14ac:dyDescent="0.35">
      <c r="A11" s="12" t="s">
        <v>94</v>
      </c>
      <c r="B11" s="10">
        <v>118253.63636363637</v>
      </c>
      <c r="E11" s="12">
        <v>1.2067268846744299</v>
      </c>
      <c r="F11" s="10">
        <v>29</v>
      </c>
    </row>
    <row r="12" spans="1:6" x14ac:dyDescent="0.35">
      <c r="A12" s="12" t="s">
        <v>95</v>
      </c>
      <c r="B12" s="10">
        <v>103652.61538461539</v>
      </c>
      <c r="E12" s="12">
        <v>1.3138255253690601</v>
      </c>
      <c r="F12" s="10">
        <v>33</v>
      </c>
    </row>
    <row r="13" spans="1:6" x14ac:dyDescent="0.35">
      <c r="A13" s="12" t="s">
        <v>96</v>
      </c>
      <c r="B13" s="10">
        <v>93498.5</v>
      </c>
      <c r="E13" s="12">
        <v>1.34138985997507</v>
      </c>
      <c r="F13" s="10">
        <v>25</v>
      </c>
    </row>
    <row r="14" spans="1:6" x14ac:dyDescent="0.35">
      <c r="A14" s="12" t="s">
        <v>85</v>
      </c>
      <c r="B14" s="10">
        <v>109321.51</v>
      </c>
      <c r="E14" s="12">
        <v>1.37592775936347</v>
      </c>
      <c r="F14" s="10">
        <v>3</v>
      </c>
    </row>
    <row r="15" spans="1:6" x14ac:dyDescent="0.35">
      <c r="E15" s="12">
        <v>1.3887059750830699</v>
      </c>
      <c r="F15" s="10">
        <v>25</v>
      </c>
    </row>
    <row r="16" spans="1:6" x14ac:dyDescent="0.35">
      <c r="E16" s="12">
        <v>1.50824205060753</v>
      </c>
      <c r="F16" s="10">
        <v>20</v>
      </c>
    </row>
    <row r="17" spans="5:6" x14ac:dyDescent="0.35">
      <c r="E17" s="12">
        <v>1.5603360609460899</v>
      </c>
      <c r="F17" s="10">
        <v>30</v>
      </c>
    </row>
    <row r="18" spans="5:6" x14ac:dyDescent="0.35">
      <c r="E18" s="12">
        <v>1.62574817068434</v>
      </c>
      <c r="F18" s="10">
        <v>3</v>
      </c>
    </row>
    <row r="19" spans="5:6" x14ac:dyDescent="0.35">
      <c r="E19" s="12">
        <v>1.67797098674437</v>
      </c>
      <c r="F19" s="10">
        <v>18</v>
      </c>
    </row>
    <row r="20" spans="5:6" x14ac:dyDescent="0.35">
      <c r="E20" s="12">
        <v>1.69317728028338</v>
      </c>
      <c r="F20" s="10">
        <v>7</v>
      </c>
    </row>
    <row r="21" spans="5:6" x14ac:dyDescent="0.35">
      <c r="E21" s="12">
        <v>1.70844271762819</v>
      </c>
      <c r="F21" s="10">
        <v>29</v>
      </c>
    </row>
    <row r="22" spans="5:6" x14ac:dyDescent="0.35">
      <c r="E22" s="12">
        <v>1.78097195119217</v>
      </c>
      <c r="F22" s="10">
        <v>16</v>
      </c>
    </row>
    <row r="23" spans="5:6" x14ac:dyDescent="0.35">
      <c r="E23" s="12">
        <v>1.86328410998737</v>
      </c>
      <c r="F23" s="10">
        <v>25</v>
      </c>
    </row>
    <row r="24" spans="5:6" x14ac:dyDescent="0.35">
      <c r="E24" s="12">
        <v>1.9759585735163301</v>
      </c>
      <c r="F24" s="10">
        <v>17</v>
      </c>
    </row>
    <row r="25" spans="5:6" x14ac:dyDescent="0.35">
      <c r="E25" s="12">
        <v>2.00097159265838</v>
      </c>
      <c r="F25" s="10">
        <v>17</v>
      </c>
    </row>
    <row r="26" spans="5:6" x14ac:dyDescent="0.35">
      <c r="E26" s="12">
        <v>2.0833290050482902</v>
      </c>
      <c r="F26" s="10">
        <v>33</v>
      </c>
    </row>
    <row r="27" spans="5:6" x14ac:dyDescent="0.35">
      <c r="E27" s="12">
        <v>2.11973558778377</v>
      </c>
      <c r="F27" s="10">
        <v>22</v>
      </c>
    </row>
    <row r="28" spans="5:6" x14ac:dyDescent="0.35">
      <c r="E28" s="12">
        <v>2.1230894497634201</v>
      </c>
      <c r="F28" s="10">
        <v>9</v>
      </c>
    </row>
    <row r="29" spans="5:6" x14ac:dyDescent="0.35">
      <c r="E29" s="12">
        <v>2.1461650085131301</v>
      </c>
      <c r="F29" s="10">
        <v>11</v>
      </c>
    </row>
    <row r="30" spans="5:6" x14ac:dyDescent="0.35">
      <c r="E30" s="12">
        <v>2.1743673770579699</v>
      </c>
      <c r="F30" s="10">
        <v>49</v>
      </c>
    </row>
    <row r="31" spans="5:6" x14ac:dyDescent="0.35">
      <c r="E31" s="12">
        <v>2.1777955682783401</v>
      </c>
      <c r="F31" s="10">
        <v>41</v>
      </c>
    </row>
    <row r="32" spans="5:6" x14ac:dyDescent="0.35">
      <c r="E32" s="12">
        <v>2.2676880206251102</v>
      </c>
      <c r="F32" s="10">
        <v>39</v>
      </c>
    </row>
    <row r="33" spans="5:6" x14ac:dyDescent="0.35">
      <c r="E33" s="12">
        <v>2.2918258917649799</v>
      </c>
      <c r="F33" s="10">
        <v>41</v>
      </c>
    </row>
    <row r="34" spans="5:6" x14ac:dyDescent="0.35">
      <c r="E34" s="12">
        <v>2.3519806274061401</v>
      </c>
      <c r="F34" s="10">
        <v>48</v>
      </c>
    </row>
    <row r="35" spans="5:6" x14ac:dyDescent="0.35">
      <c r="E35" s="12">
        <v>2.4379646048790198</v>
      </c>
      <c r="F35" s="10">
        <v>48</v>
      </c>
    </row>
    <row r="36" spans="5:6" x14ac:dyDescent="0.35">
      <c r="E36" s="12">
        <v>2.4407625656450498</v>
      </c>
      <c r="F36" s="10">
        <v>40</v>
      </c>
    </row>
    <row r="37" spans="5:6" x14ac:dyDescent="0.35">
      <c r="E37" s="12">
        <v>2.48063480102177</v>
      </c>
      <c r="F37" s="10">
        <v>19</v>
      </c>
    </row>
    <row r="38" spans="5:6" x14ac:dyDescent="0.35">
      <c r="E38" s="12">
        <v>2.5023318105597698</v>
      </c>
      <c r="F38" s="10">
        <v>16</v>
      </c>
    </row>
    <row r="39" spans="5:6" x14ac:dyDescent="0.35">
      <c r="E39" s="12">
        <v>2.5403909144077002</v>
      </c>
      <c r="F39" s="10">
        <v>33</v>
      </c>
    </row>
    <row r="40" spans="5:6" x14ac:dyDescent="0.35">
      <c r="E40" s="12">
        <v>2.5723908986670398</v>
      </c>
      <c r="F40" s="10">
        <v>24</v>
      </c>
    </row>
    <row r="41" spans="5:6" x14ac:dyDescent="0.35">
      <c r="E41" s="12">
        <v>2.6358117776570702</v>
      </c>
      <c r="F41" s="10">
        <v>8</v>
      </c>
    </row>
    <row r="42" spans="5:6" x14ac:dyDescent="0.35">
      <c r="E42" s="12">
        <v>2.7127365932692502</v>
      </c>
      <c r="F42" s="10">
        <v>19</v>
      </c>
    </row>
    <row r="43" spans="5:6" x14ac:dyDescent="0.35">
      <c r="E43" s="12">
        <v>2.75588568282254</v>
      </c>
      <c r="F43" s="10">
        <v>4</v>
      </c>
    </row>
    <row r="44" spans="5:6" x14ac:dyDescent="0.35">
      <c r="E44" s="12">
        <v>2.8623920725298402</v>
      </c>
      <c r="F44" s="10">
        <v>33</v>
      </c>
    </row>
    <row r="45" spans="5:6" x14ac:dyDescent="0.35">
      <c r="E45" s="12">
        <v>2.9700707752754498</v>
      </c>
      <c r="F45" s="10">
        <v>48</v>
      </c>
    </row>
    <row r="46" spans="5:6" x14ac:dyDescent="0.35">
      <c r="E46" s="12">
        <v>3.00606517874879</v>
      </c>
      <c r="F46" s="10">
        <v>37</v>
      </c>
    </row>
    <row r="47" spans="5:6" x14ac:dyDescent="0.35">
      <c r="E47" s="12">
        <v>3.01054837242076</v>
      </c>
      <c r="F47" s="10">
        <v>22</v>
      </c>
    </row>
    <row r="48" spans="5:6" x14ac:dyDescent="0.35">
      <c r="E48" s="12">
        <v>3.0453695954437499</v>
      </c>
      <c r="F48" s="10">
        <v>5</v>
      </c>
    </row>
    <row r="49" spans="5:6" x14ac:dyDescent="0.35">
      <c r="E49" s="12">
        <v>3.0652013932047799</v>
      </c>
      <c r="F49" s="10">
        <v>16</v>
      </c>
    </row>
    <row r="50" spans="5:6" x14ac:dyDescent="0.35">
      <c r="E50" s="12">
        <v>3.0733186094549398</v>
      </c>
      <c r="F50" s="10">
        <v>42</v>
      </c>
    </row>
    <row r="51" spans="5:6" x14ac:dyDescent="0.35">
      <c r="E51" s="12">
        <v>3.0889730402192099</v>
      </c>
      <c r="F51" s="10">
        <v>35</v>
      </c>
    </row>
    <row r="52" spans="5:6" x14ac:dyDescent="0.35">
      <c r="E52" s="12">
        <v>3.1254185262725902</v>
      </c>
      <c r="F52" s="10">
        <v>18</v>
      </c>
    </row>
    <row r="53" spans="5:6" x14ac:dyDescent="0.35">
      <c r="E53" s="12">
        <v>3.1625404864404199</v>
      </c>
      <c r="F53" s="10">
        <v>46</v>
      </c>
    </row>
    <row r="54" spans="5:6" x14ac:dyDescent="0.35">
      <c r="E54" s="12">
        <v>3.1705785388302998</v>
      </c>
      <c r="F54" s="10">
        <v>24</v>
      </c>
    </row>
    <row r="55" spans="5:6" x14ac:dyDescent="0.35">
      <c r="E55" s="12">
        <v>3.1969066588244801</v>
      </c>
      <c r="F55" s="10">
        <v>33</v>
      </c>
    </row>
    <row r="56" spans="5:6" x14ac:dyDescent="0.35">
      <c r="E56" s="12">
        <v>3.2272050498334002</v>
      </c>
      <c r="F56" s="10">
        <v>40</v>
      </c>
    </row>
    <row r="57" spans="5:6" x14ac:dyDescent="0.35">
      <c r="E57" s="12">
        <v>3.2802446803574599</v>
      </c>
      <c r="F57" s="10">
        <v>28</v>
      </c>
    </row>
    <row r="58" spans="5:6" x14ac:dyDescent="0.35">
      <c r="E58" s="12">
        <v>3.3076155385054302</v>
      </c>
      <c r="F58" s="10">
        <v>11</v>
      </c>
    </row>
    <row r="59" spans="5:6" x14ac:dyDescent="0.35">
      <c r="E59" s="12">
        <v>3.3131205639846901</v>
      </c>
      <c r="F59" s="10">
        <v>20</v>
      </c>
    </row>
    <row r="60" spans="5:6" x14ac:dyDescent="0.35">
      <c r="E60" s="12">
        <v>3.3633330422760399</v>
      </c>
      <c r="F60" s="10">
        <v>49</v>
      </c>
    </row>
    <row r="61" spans="5:6" x14ac:dyDescent="0.35">
      <c r="E61" s="12">
        <v>3.4600289067966701</v>
      </c>
      <c r="F61" s="10">
        <v>23</v>
      </c>
    </row>
    <row r="62" spans="5:6" x14ac:dyDescent="0.35">
      <c r="E62" s="12">
        <v>3.4915619032760001</v>
      </c>
      <c r="F62" s="10">
        <v>35</v>
      </c>
    </row>
    <row r="63" spans="5:6" x14ac:dyDescent="0.35">
      <c r="E63" s="12">
        <v>3.5245545039890498</v>
      </c>
      <c r="F63" s="10">
        <v>34</v>
      </c>
    </row>
    <row r="64" spans="5:6" x14ac:dyDescent="0.35">
      <c r="E64" s="12">
        <v>3.54971960599282</v>
      </c>
      <c r="F64" s="10">
        <v>18</v>
      </c>
    </row>
    <row r="65" spans="5:6" x14ac:dyDescent="0.35">
      <c r="E65" s="12">
        <v>3.5818891836286699</v>
      </c>
      <c r="F65" s="10">
        <v>16</v>
      </c>
    </row>
    <row r="66" spans="5:6" x14ac:dyDescent="0.35">
      <c r="E66" s="12">
        <v>3.5998557231110602</v>
      </c>
      <c r="F66" s="10">
        <v>9</v>
      </c>
    </row>
    <row r="67" spans="5:6" x14ac:dyDescent="0.35">
      <c r="E67" s="12">
        <v>3.6407895068709202</v>
      </c>
      <c r="F67" s="10">
        <v>12</v>
      </c>
    </row>
    <row r="68" spans="5:6" x14ac:dyDescent="0.35">
      <c r="E68" s="12">
        <v>3.7838968243747901</v>
      </c>
      <c r="F68" s="10">
        <v>20</v>
      </c>
    </row>
    <row r="69" spans="5:6" x14ac:dyDescent="0.35">
      <c r="E69" s="12">
        <v>3.7841191866998898</v>
      </c>
      <c r="F69" s="10">
        <v>11</v>
      </c>
    </row>
    <row r="70" spans="5:6" x14ac:dyDescent="0.35">
      <c r="E70" s="12">
        <v>3.7880629639810701</v>
      </c>
      <c r="F70" s="10">
        <v>16</v>
      </c>
    </row>
    <row r="71" spans="5:6" x14ac:dyDescent="0.35">
      <c r="E71" s="12">
        <v>3.8078675090308098</v>
      </c>
      <c r="F71" s="10">
        <v>41</v>
      </c>
    </row>
    <row r="72" spans="5:6" x14ac:dyDescent="0.35">
      <c r="E72" s="12">
        <v>3.80993633594843</v>
      </c>
      <c r="F72" s="10">
        <v>26</v>
      </c>
    </row>
    <row r="73" spans="5:6" x14ac:dyDescent="0.35">
      <c r="E73" s="12">
        <v>3.85838369080024</v>
      </c>
      <c r="F73" s="10">
        <v>48</v>
      </c>
    </row>
    <row r="74" spans="5:6" x14ac:dyDescent="0.35">
      <c r="E74" s="12">
        <v>3.88980846104602</v>
      </c>
      <c r="F74" s="10">
        <v>33</v>
      </c>
    </row>
    <row r="75" spans="5:6" x14ac:dyDescent="0.35">
      <c r="E75" s="12">
        <v>3.90436533489064</v>
      </c>
      <c r="F75" s="10">
        <v>2</v>
      </c>
    </row>
    <row r="76" spans="5:6" x14ac:dyDescent="0.35">
      <c r="E76" s="12">
        <v>3.9630744710168102</v>
      </c>
      <c r="F76" s="10">
        <v>7</v>
      </c>
    </row>
    <row r="77" spans="5:6" x14ac:dyDescent="0.35">
      <c r="E77" s="12">
        <v>4.0799742123944398</v>
      </c>
      <c r="F77" s="10">
        <v>48</v>
      </c>
    </row>
    <row r="78" spans="5:6" x14ac:dyDescent="0.35">
      <c r="E78" s="12">
        <v>4.1792452141665901</v>
      </c>
      <c r="F78" s="10">
        <v>6</v>
      </c>
    </row>
    <row r="79" spans="5:6" x14ac:dyDescent="0.35">
      <c r="E79" s="12">
        <v>4.1807447790748098</v>
      </c>
      <c r="F79" s="10">
        <v>36</v>
      </c>
    </row>
    <row r="80" spans="5:6" x14ac:dyDescent="0.35">
      <c r="E80" s="12">
        <v>4.1831706777443998</v>
      </c>
      <c r="F80" s="10">
        <v>35</v>
      </c>
    </row>
    <row r="81" spans="5:6" x14ac:dyDescent="0.35">
      <c r="E81" s="12">
        <v>4.1931807158670997</v>
      </c>
      <c r="F81" s="10">
        <v>32</v>
      </c>
    </row>
    <row r="82" spans="5:6" x14ac:dyDescent="0.35">
      <c r="E82" s="12">
        <v>4.23744462191405</v>
      </c>
      <c r="F82" s="10">
        <v>2</v>
      </c>
    </row>
    <row r="83" spans="5:6" x14ac:dyDescent="0.35">
      <c r="E83" s="12">
        <v>4.2404535787167204</v>
      </c>
      <c r="F83" s="10">
        <v>1</v>
      </c>
    </row>
    <row r="84" spans="5:6" x14ac:dyDescent="0.35">
      <c r="E84" s="12">
        <v>4.2904022426386303</v>
      </c>
      <c r="F84" s="10">
        <v>38</v>
      </c>
    </row>
    <row r="85" spans="5:6" x14ac:dyDescent="0.35">
      <c r="E85" s="12">
        <v>4.3439204820488202</v>
      </c>
      <c r="F85" s="10">
        <v>48</v>
      </c>
    </row>
    <row r="86" spans="5:6" x14ac:dyDescent="0.35">
      <c r="E86" s="12">
        <v>4.4045466860674196</v>
      </c>
      <c r="F86" s="10">
        <v>40</v>
      </c>
    </row>
    <row r="87" spans="5:6" x14ac:dyDescent="0.35">
      <c r="E87" s="12">
        <v>4.4120378218694398</v>
      </c>
      <c r="F87" s="10">
        <v>7</v>
      </c>
    </row>
    <row r="88" spans="5:6" x14ac:dyDescent="0.35">
      <c r="E88" s="12">
        <v>4.4682892743204103</v>
      </c>
      <c r="F88" s="10">
        <v>48</v>
      </c>
    </row>
    <row r="89" spans="5:6" x14ac:dyDescent="0.35">
      <c r="E89" s="12">
        <v>4.5094922877118204</v>
      </c>
      <c r="F89" s="10">
        <v>35</v>
      </c>
    </row>
    <row r="90" spans="5:6" x14ac:dyDescent="0.35">
      <c r="E90" s="12">
        <v>4.5600213672702603</v>
      </c>
      <c r="F90" s="10">
        <v>19</v>
      </c>
    </row>
    <row r="91" spans="5:6" x14ac:dyDescent="0.35">
      <c r="E91" s="12">
        <v>4.5681862207084496</v>
      </c>
      <c r="F91" s="10">
        <v>5</v>
      </c>
    </row>
    <row r="92" spans="5:6" x14ac:dyDescent="0.35">
      <c r="E92" s="12">
        <v>4.6529622102258799</v>
      </c>
      <c r="F92" s="10">
        <v>12</v>
      </c>
    </row>
    <row r="93" spans="5:6" x14ac:dyDescent="0.35">
      <c r="E93" s="12">
        <v>4.6594575608817896</v>
      </c>
      <c r="F93" s="10">
        <v>36</v>
      </c>
    </row>
    <row r="94" spans="5:6" x14ac:dyDescent="0.35">
      <c r="E94" s="12">
        <v>4.7132742503509002</v>
      </c>
      <c r="F94" s="10">
        <v>3</v>
      </c>
    </row>
    <row r="95" spans="5:6" x14ac:dyDescent="0.35">
      <c r="E95" s="12">
        <v>4.7446190966431203</v>
      </c>
      <c r="F95" s="10">
        <v>1</v>
      </c>
    </row>
    <row r="96" spans="5:6" x14ac:dyDescent="0.35">
      <c r="E96" s="12">
        <v>4.7618343374116501</v>
      </c>
      <c r="F96" s="10">
        <v>3</v>
      </c>
    </row>
    <row r="97" spans="2:6" x14ac:dyDescent="0.35">
      <c r="E97" s="12">
        <v>4.8157143080103397</v>
      </c>
      <c r="F97" s="10">
        <v>20</v>
      </c>
    </row>
    <row r="98" spans="2:6" x14ac:dyDescent="0.35">
      <c r="E98" s="12">
        <v>4.8194611226527702</v>
      </c>
      <c r="F98" s="10">
        <v>22</v>
      </c>
    </row>
    <row r="99" spans="2:6" x14ac:dyDescent="0.35">
      <c r="E99" s="12">
        <v>4.8505936587117002</v>
      </c>
      <c r="F99" s="10">
        <v>21</v>
      </c>
    </row>
    <row r="100" spans="2:6" x14ac:dyDescent="0.35">
      <c r="E100" s="12">
        <v>4.8544799083570096</v>
      </c>
      <c r="F100" s="10">
        <v>32</v>
      </c>
    </row>
    <row r="101" spans="2:6" x14ac:dyDescent="0.35">
      <c r="E101" s="12">
        <v>4.8666192761746698</v>
      </c>
      <c r="F101" s="10">
        <v>20</v>
      </c>
    </row>
    <row r="102" spans="2:6" x14ac:dyDescent="0.35">
      <c r="E102" s="12">
        <v>4.8920422190097801</v>
      </c>
      <c r="F102" s="10">
        <v>38</v>
      </c>
    </row>
    <row r="103" spans="2:6" x14ac:dyDescent="0.35">
      <c r="E103" s="12">
        <v>4.90340831785013</v>
      </c>
      <c r="F103" s="10">
        <v>35</v>
      </c>
    </row>
    <row r="104" spans="2:6" x14ac:dyDescent="0.35">
      <c r="E104" s="12">
        <v>4.9602154004170496</v>
      </c>
      <c r="F104" s="10">
        <v>31</v>
      </c>
    </row>
    <row r="105" spans="2:6" x14ac:dyDescent="0.35">
      <c r="E105" s="12" t="s">
        <v>85</v>
      </c>
      <c r="F105" s="10">
        <v>2447</v>
      </c>
    </row>
    <row r="111" spans="2:6" x14ac:dyDescent="0.35">
      <c r="B111" t="s">
        <v>106</v>
      </c>
    </row>
    <row r="114" spans="2:6" x14ac:dyDescent="0.35">
      <c r="B114" t="s">
        <v>99</v>
      </c>
    </row>
    <row r="115" spans="2:6" x14ac:dyDescent="0.35">
      <c r="B115" s="10">
        <v>100</v>
      </c>
    </row>
    <row r="121" spans="2:6" x14ac:dyDescent="0.35">
      <c r="B121" t="s">
        <v>105</v>
      </c>
    </row>
    <row r="125" spans="2:6" x14ac:dyDescent="0.35">
      <c r="C125" s="11" t="s">
        <v>86</v>
      </c>
      <c r="D125" t="s">
        <v>100</v>
      </c>
      <c r="E125" t="s">
        <v>101</v>
      </c>
      <c r="F125" t="s">
        <v>102</v>
      </c>
    </row>
    <row r="126" spans="2:6" x14ac:dyDescent="0.35">
      <c r="C126" s="12" t="s">
        <v>87</v>
      </c>
      <c r="D126" s="10">
        <v>48419</v>
      </c>
      <c r="E126" s="10">
        <v>178371</v>
      </c>
      <c r="F126" s="10">
        <v>113670.90909090909</v>
      </c>
    </row>
    <row r="127" spans="2:6" x14ac:dyDescent="0.35">
      <c r="C127" s="12" t="s">
        <v>88</v>
      </c>
      <c r="D127" s="10">
        <v>38986</v>
      </c>
      <c r="E127" s="10">
        <v>152659</v>
      </c>
      <c r="F127" s="10">
        <v>109207.63636363637</v>
      </c>
    </row>
    <row r="128" spans="2:6" x14ac:dyDescent="0.35">
      <c r="C128" s="12" t="s">
        <v>89</v>
      </c>
      <c r="D128" s="10">
        <v>38545</v>
      </c>
      <c r="E128" s="10">
        <v>161330</v>
      </c>
      <c r="F128" s="10">
        <v>110173.90909090909</v>
      </c>
    </row>
    <row r="129" spans="2:6" x14ac:dyDescent="0.35">
      <c r="C129" s="12" t="s">
        <v>90</v>
      </c>
      <c r="D129" s="10">
        <v>37666</v>
      </c>
      <c r="E129" s="10">
        <v>174213</v>
      </c>
      <c r="F129" s="10">
        <v>100473.25</v>
      </c>
    </row>
    <row r="130" spans="2:6" x14ac:dyDescent="0.35">
      <c r="C130" s="12" t="s">
        <v>91</v>
      </c>
      <c r="D130" s="10">
        <v>32392</v>
      </c>
      <c r="E130" s="10">
        <v>150657</v>
      </c>
      <c r="F130" s="10">
        <v>95397.647058823524</v>
      </c>
    </row>
    <row r="131" spans="2:6" x14ac:dyDescent="0.35">
      <c r="C131" s="12" t="s">
        <v>92</v>
      </c>
      <c r="D131" s="10">
        <v>60222</v>
      </c>
      <c r="E131" s="10">
        <v>179736</v>
      </c>
      <c r="F131" s="10">
        <v>139902.20000000001</v>
      </c>
    </row>
    <row r="132" spans="2:6" x14ac:dyDescent="0.35">
      <c r="C132" s="12" t="s">
        <v>93</v>
      </c>
      <c r="D132" s="10">
        <v>28748</v>
      </c>
      <c r="E132" s="10">
        <v>177906</v>
      </c>
      <c r="F132" s="10">
        <v>105434.5</v>
      </c>
    </row>
    <row r="133" spans="2:6" x14ac:dyDescent="0.35">
      <c r="C133" s="12" t="s">
        <v>94</v>
      </c>
      <c r="D133" s="10">
        <v>47662</v>
      </c>
      <c r="E133" s="10">
        <v>171779</v>
      </c>
      <c r="F133" s="10">
        <v>118253.63636363637</v>
      </c>
    </row>
    <row r="134" spans="2:6" x14ac:dyDescent="0.35">
      <c r="C134" s="12" t="s">
        <v>95</v>
      </c>
      <c r="D134" s="10">
        <v>27693</v>
      </c>
      <c r="E134" s="10">
        <v>164182</v>
      </c>
      <c r="F134" s="10">
        <v>103652.61538461539</v>
      </c>
    </row>
    <row r="135" spans="2:6" x14ac:dyDescent="0.35">
      <c r="C135" s="12" t="s">
        <v>96</v>
      </c>
      <c r="D135" s="10">
        <v>50939</v>
      </c>
      <c r="E135" s="10">
        <v>156278</v>
      </c>
      <c r="F135" s="10">
        <v>93498.5</v>
      </c>
    </row>
    <row r="136" spans="2:6" x14ac:dyDescent="0.35">
      <c r="C136" s="12" t="s">
        <v>85</v>
      </c>
      <c r="D136" s="10">
        <v>27693</v>
      </c>
      <c r="E136" s="10">
        <v>179736</v>
      </c>
      <c r="F136" s="10">
        <v>109321.51</v>
      </c>
    </row>
    <row r="143" spans="2:6" x14ac:dyDescent="0.35">
      <c r="B143" t="s">
        <v>104</v>
      </c>
    </row>
    <row r="146" spans="3:4" x14ac:dyDescent="0.35">
      <c r="C146" s="11" t="s">
        <v>103</v>
      </c>
      <c r="D146" t="s">
        <v>83</v>
      </c>
    </row>
    <row r="147" spans="3:4" x14ac:dyDescent="0.35">
      <c r="C147" s="12">
        <v>1</v>
      </c>
      <c r="D147" s="13">
        <v>234408</v>
      </c>
    </row>
    <row r="148" spans="3:4" x14ac:dyDescent="0.35">
      <c r="C148" s="12">
        <v>2</v>
      </c>
      <c r="D148" s="13">
        <v>186537</v>
      </c>
    </row>
    <row r="149" spans="3:4" x14ac:dyDescent="0.35">
      <c r="C149" s="12">
        <v>3</v>
      </c>
      <c r="D149" s="13">
        <v>281946</v>
      </c>
    </row>
    <row r="150" spans="3:4" x14ac:dyDescent="0.35">
      <c r="C150" s="12">
        <v>4</v>
      </c>
      <c r="D150" s="13">
        <v>90318</v>
      </c>
    </row>
    <row r="151" spans="3:4" x14ac:dyDescent="0.35">
      <c r="C151" s="12">
        <v>5</v>
      </c>
      <c r="D151" s="13">
        <v>133089</v>
      </c>
    </row>
    <row r="152" spans="3:4" x14ac:dyDescent="0.35">
      <c r="C152" s="12">
        <v>6</v>
      </c>
      <c r="D152" s="13">
        <v>216346</v>
      </c>
    </row>
    <row r="153" spans="3:4" x14ac:dyDescent="0.35">
      <c r="C153" s="12">
        <v>7</v>
      </c>
      <c r="D153" s="13">
        <v>342151</v>
      </c>
    </row>
    <row r="154" spans="3:4" x14ac:dyDescent="0.35">
      <c r="C154" s="12">
        <v>8</v>
      </c>
      <c r="D154" s="13">
        <v>290557</v>
      </c>
    </row>
    <row r="155" spans="3:4" x14ac:dyDescent="0.35">
      <c r="C155" s="12">
        <v>9</v>
      </c>
      <c r="D155" s="13">
        <v>224061</v>
      </c>
    </row>
    <row r="156" spans="3:4" x14ac:dyDescent="0.35">
      <c r="C156" s="12">
        <v>11</v>
      </c>
      <c r="D156" s="13">
        <v>334409</v>
      </c>
    </row>
    <row r="157" spans="3:4" x14ac:dyDescent="0.35">
      <c r="C157" s="12">
        <v>12</v>
      </c>
      <c r="D157" s="13">
        <v>329028</v>
      </c>
    </row>
    <row r="158" spans="3:4" x14ac:dyDescent="0.35">
      <c r="C158" s="12">
        <v>14</v>
      </c>
      <c r="D158" s="13">
        <v>92172</v>
      </c>
    </row>
    <row r="159" spans="3:4" x14ac:dyDescent="0.35">
      <c r="C159" s="12">
        <v>16</v>
      </c>
      <c r="D159" s="13">
        <v>506732</v>
      </c>
    </row>
    <row r="160" spans="3:4" x14ac:dyDescent="0.35">
      <c r="C160" s="12">
        <v>17</v>
      </c>
      <c r="D160" s="13">
        <v>191159</v>
      </c>
    </row>
    <row r="161" spans="3:4" x14ac:dyDescent="0.35">
      <c r="C161" s="12">
        <v>18</v>
      </c>
      <c r="D161" s="13">
        <v>434198</v>
      </c>
    </row>
    <row r="162" spans="3:4" x14ac:dyDescent="0.35">
      <c r="C162" s="12">
        <v>19</v>
      </c>
      <c r="D162" s="13">
        <v>267447</v>
      </c>
    </row>
    <row r="163" spans="3:4" x14ac:dyDescent="0.35">
      <c r="C163" s="12">
        <v>20</v>
      </c>
      <c r="D163" s="13">
        <v>605894</v>
      </c>
    </row>
    <row r="164" spans="3:4" x14ac:dyDescent="0.35">
      <c r="C164" s="12">
        <v>21</v>
      </c>
      <c r="D164" s="13">
        <v>118264</v>
      </c>
    </row>
    <row r="165" spans="3:4" x14ac:dyDescent="0.35">
      <c r="C165" s="12">
        <v>22</v>
      </c>
      <c r="D165" s="13">
        <v>373285</v>
      </c>
    </row>
    <row r="166" spans="3:4" x14ac:dyDescent="0.35">
      <c r="C166" s="12">
        <v>23</v>
      </c>
      <c r="D166" s="13">
        <v>147409</v>
      </c>
    </row>
    <row r="167" spans="3:4" x14ac:dyDescent="0.35">
      <c r="C167" s="12">
        <v>24</v>
      </c>
      <c r="D167" s="13">
        <v>402371</v>
      </c>
    </row>
    <row r="168" spans="3:4" x14ac:dyDescent="0.35">
      <c r="C168" s="12">
        <v>25</v>
      </c>
      <c r="D168" s="13">
        <v>346628</v>
      </c>
    </row>
    <row r="169" spans="3:4" x14ac:dyDescent="0.35">
      <c r="C169" s="12">
        <v>26</v>
      </c>
      <c r="D169" s="13">
        <v>326691</v>
      </c>
    </row>
    <row r="170" spans="3:4" x14ac:dyDescent="0.35">
      <c r="C170" s="12">
        <v>28</v>
      </c>
      <c r="D170" s="13">
        <v>144176</v>
      </c>
    </row>
    <row r="171" spans="3:4" x14ac:dyDescent="0.35">
      <c r="C171" s="12">
        <v>29</v>
      </c>
      <c r="D171" s="13">
        <v>71937</v>
      </c>
    </row>
    <row r="172" spans="3:4" x14ac:dyDescent="0.35">
      <c r="C172" s="12">
        <v>30</v>
      </c>
      <c r="D172" s="13">
        <v>75015</v>
      </c>
    </row>
    <row r="173" spans="3:4" x14ac:dyDescent="0.35">
      <c r="C173" s="12">
        <v>31</v>
      </c>
      <c r="D173" s="13">
        <v>48419</v>
      </c>
    </row>
    <row r="174" spans="3:4" x14ac:dyDescent="0.35">
      <c r="C174" s="12">
        <v>32</v>
      </c>
      <c r="D174" s="13">
        <v>125009</v>
      </c>
    </row>
    <row r="175" spans="3:4" x14ac:dyDescent="0.35">
      <c r="C175" s="12">
        <v>33</v>
      </c>
      <c r="D175" s="13">
        <v>706303</v>
      </c>
    </row>
    <row r="176" spans="3:4" x14ac:dyDescent="0.35">
      <c r="C176" s="12">
        <v>34</v>
      </c>
      <c r="D176" s="13">
        <v>38986</v>
      </c>
    </row>
    <row r="177" spans="3:4" x14ac:dyDescent="0.35">
      <c r="C177" s="12">
        <v>35</v>
      </c>
      <c r="D177" s="13">
        <v>655805</v>
      </c>
    </row>
    <row r="178" spans="3:4" x14ac:dyDescent="0.35">
      <c r="C178" s="12">
        <v>36</v>
      </c>
      <c r="D178" s="13">
        <v>304457</v>
      </c>
    </row>
    <row r="179" spans="3:4" x14ac:dyDescent="0.35">
      <c r="C179" s="12">
        <v>37</v>
      </c>
      <c r="D179" s="13">
        <v>134225</v>
      </c>
    </row>
    <row r="180" spans="3:4" x14ac:dyDescent="0.35">
      <c r="C180" s="12">
        <v>38</v>
      </c>
      <c r="D180" s="13">
        <v>267162</v>
      </c>
    </row>
    <row r="181" spans="3:4" x14ac:dyDescent="0.35">
      <c r="C181" s="12">
        <v>39</v>
      </c>
      <c r="D181" s="13">
        <v>123806</v>
      </c>
    </row>
    <row r="182" spans="3:4" x14ac:dyDescent="0.35">
      <c r="C182" s="12">
        <v>40</v>
      </c>
      <c r="D182" s="13">
        <v>453119</v>
      </c>
    </row>
    <row r="183" spans="3:4" x14ac:dyDescent="0.35">
      <c r="C183" s="12">
        <v>41</v>
      </c>
      <c r="D183" s="13">
        <v>236764</v>
      </c>
    </row>
    <row r="184" spans="3:4" x14ac:dyDescent="0.35">
      <c r="C184" s="12">
        <v>42</v>
      </c>
      <c r="D184" s="13">
        <v>147096</v>
      </c>
    </row>
    <row r="185" spans="3:4" x14ac:dyDescent="0.35">
      <c r="C185" s="12">
        <v>46</v>
      </c>
      <c r="D185" s="13">
        <v>98530</v>
      </c>
    </row>
    <row r="186" spans="3:4" x14ac:dyDescent="0.35">
      <c r="C186" s="12">
        <v>48</v>
      </c>
      <c r="D186" s="13">
        <v>689843</v>
      </c>
    </row>
    <row r="187" spans="3:4" x14ac:dyDescent="0.35">
      <c r="C187" s="12">
        <v>49</v>
      </c>
      <c r="D187" s="13">
        <v>136399</v>
      </c>
    </row>
    <row r="188" spans="3:4" x14ac:dyDescent="0.35">
      <c r="C188" s="12" t="s">
        <v>85</v>
      </c>
      <c r="D188" s="13">
        <v>10932151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B623-412B-4661-8310-A35A1FE29286}">
  <dimension ref="A1:G327"/>
  <sheetViews>
    <sheetView workbookViewId="0">
      <selection sqref="A1:E101"/>
    </sheetView>
  </sheetViews>
  <sheetFormatPr defaultRowHeight="14.5" x14ac:dyDescent="0.35"/>
  <cols>
    <col min="2" max="2" width="20.6328125" customWidth="1"/>
    <col min="3" max="3" width="16.54296875" customWidth="1"/>
    <col min="4" max="4" width="20.90625" customWidth="1"/>
    <col min="5" max="5" width="18.7265625" customWidth="1"/>
    <col min="6" max="6" width="16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56</v>
      </c>
      <c r="B2">
        <v>158767</v>
      </c>
      <c r="C2">
        <v>17</v>
      </c>
      <c r="D2" s="4">
        <v>1.9759585735163301</v>
      </c>
      <c r="E2">
        <v>7</v>
      </c>
    </row>
    <row r="3" spans="1:5" x14ac:dyDescent="0.35">
      <c r="A3">
        <v>46</v>
      </c>
      <c r="B3">
        <v>149375</v>
      </c>
      <c r="C3">
        <v>38</v>
      </c>
      <c r="D3" s="4">
        <v>4.8920422190097801</v>
      </c>
      <c r="E3">
        <v>5</v>
      </c>
    </row>
    <row r="4" spans="1:5" x14ac:dyDescent="0.35">
      <c r="A4">
        <v>32</v>
      </c>
      <c r="B4">
        <v>161330</v>
      </c>
      <c r="C4">
        <v>24</v>
      </c>
      <c r="D4" s="4">
        <v>2.5723908986670398</v>
      </c>
      <c r="E4">
        <v>3</v>
      </c>
    </row>
    <row r="5" spans="1:5" x14ac:dyDescent="0.35">
      <c r="A5">
        <v>60</v>
      </c>
      <c r="B5">
        <v>64504</v>
      </c>
      <c r="C5">
        <v>5</v>
      </c>
      <c r="D5" s="4">
        <v>4.5681862207084496</v>
      </c>
      <c r="E5">
        <v>12</v>
      </c>
    </row>
    <row r="6" spans="1:5" x14ac:dyDescent="0.35">
      <c r="A6">
        <v>25</v>
      </c>
      <c r="B6">
        <v>38986</v>
      </c>
      <c r="C6">
        <v>34</v>
      </c>
      <c r="D6" s="4">
        <v>3.5245545039890498</v>
      </c>
      <c r="E6">
        <v>16</v>
      </c>
    </row>
    <row r="7" spans="1:5" x14ac:dyDescent="0.35">
      <c r="A7">
        <v>38</v>
      </c>
      <c r="B7">
        <v>86858</v>
      </c>
      <c r="C7">
        <v>6</v>
      </c>
      <c r="D7" s="4">
        <v>4.1792452141665901</v>
      </c>
      <c r="E7">
        <v>19</v>
      </c>
    </row>
    <row r="8" spans="1:5" x14ac:dyDescent="0.35">
      <c r="A8">
        <v>56</v>
      </c>
      <c r="B8">
        <v>154312</v>
      </c>
      <c r="C8">
        <v>22</v>
      </c>
      <c r="D8" s="4">
        <v>3.01054837242076</v>
      </c>
      <c r="E8">
        <v>5</v>
      </c>
    </row>
    <row r="9" spans="1:5" x14ac:dyDescent="0.35">
      <c r="A9">
        <v>36</v>
      </c>
      <c r="B9">
        <v>37666</v>
      </c>
      <c r="C9">
        <v>11</v>
      </c>
      <c r="D9" s="4">
        <v>3.3076155385054302</v>
      </c>
      <c r="E9">
        <v>14</v>
      </c>
    </row>
    <row r="10" spans="1:5" x14ac:dyDescent="0.35">
      <c r="A10">
        <v>40</v>
      </c>
      <c r="B10">
        <v>63660</v>
      </c>
      <c r="C10">
        <v>48</v>
      </c>
      <c r="D10" s="4">
        <v>2.9700707752754498</v>
      </c>
      <c r="E10">
        <v>5</v>
      </c>
    </row>
    <row r="11" spans="1:5" x14ac:dyDescent="0.35">
      <c r="A11">
        <v>28</v>
      </c>
      <c r="B11">
        <v>159633</v>
      </c>
      <c r="C11">
        <v>16</v>
      </c>
      <c r="D11" s="4">
        <v>1.78097195119217</v>
      </c>
      <c r="E11">
        <v>15</v>
      </c>
    </row>
    <row r="12" spans="1:5" x14ac:dyDescent="0.35">
      <c r="A12">
        <v>28</v>
      </c>
      <c r="B12">
        <v>51854</v>
      </c>
      <c r="C12">
        <v>33</v>
      </c>
      <c r="D12" s="4">
        <v>3.88980846104602</v>
      </c>
      <c r="E12">
        <v>17</v>
      </c>
    </row>
    <row r="13" spans="1:5" x14ac:dyDescent="0.35">
      <c r="A13">
        <v>41</v>
      </c>
      <c r="B13">
        <v>89505</v>
      </c>
      <c r="C13">
        <v>9</v>
      </c>
      <c r="D13" s="4">
        <v>2.1230894497634201</v>
      </c>
      <c r="E13">
        <v>14</v>
      </c>
    </row>
    <row r="14" spans="1:5" x14ac:dyDescent="0.35">
      <c r="A14">
        <v>53</v>
      </c>
      <c r="B14">
        <v>129488</v>
      </c>
      <c r="C14">
        <v>6</v>
      </c>
      <c r="D14" s="4">
        <v>1.09726386572581</v>
      </c>
      <c r="E14">
        <v>5</v>
      </c>
    </row>
    <row r="15" spans="1:5" x14ac:dyDescent="0.35">
      <c r="A15">
        <v>57</v>
      </c>
      <c r="B15">
        <v>47662</v>
      </c>
      <c r="C15">
        <v>16</v>
      </c>
      <c r="D15" s="4">
        <v>3.5818891836286699</v>
      </c>
      <c r="E15">
        <v>12</v>
      </c>
    </row>
    <row r="16" spans="1:5" x14ac:dyDescent="0.35">
      <c r="A16">
        <v>41</v>
      </c>
      <c r="B16">
        <v>33392</v>
      </c>
      <c r="C16">
        <v>29</v>
      </c>
      <c r="D16" s="4">
        <v>1.70844271762819</v>
      </c>
      <c r="E16">
        <v>16</v>
      </c>
    </row>
    <row r="17" spans="1:5" x14ac:dyDescent="0.35">
      <c r="A17">
        <v>20</v>
      </c>
      <c r="B17">
        <v>55535</v>
      </c>
      <c r="C17">
        <v>3</v>
      </c>
      <c r="D17" s="4">
        <v>4.7618343374116501</v>
      </c>
      <c r="E17">
        <v>16</v>
      </c>
    </row>
    <row r="18" spans="1:5" x14ac:dyDescent="0.35">
      <c r="A18">
        <v>39</v>
      </c>
      <c r="B18">
        <v>138569</v>
      </c>
      <c r="C18">
        <v>20</v>
      </c>
      <c r="D18" s="4">
        <v>4.8157143080103397</v>
      </c>
      <c r="E18">
        <v>7</v>
      </c>
    </row>
    <row r="19" spans="1:5" x14ac:dyDescent="0.35">
      <c r="A19">
        <v>19</v>
      </c>
      <c r="B19">
        <v>77256</v>
      </c>
      <c r="C19">
        <v>36</v>
      </c>
      <c r="D19" s="4">
        <v>4.6594575608817896</v>
      </c>
      <c r="E19">
        <v>4</v>
      </c>
    </row>
    <row r="20" spans="1:5" x14ac:dyDescent="0.35">
      <c r="A20">
        <v>41</v>
      </c>
      <c r="B20">
        <v>114135</v>
      </c>
      <c r="C20">
        <v>19</v>
      </c>
      <c r="D20" s="4">
        <v>2.48063480102177</v>
      </c>
      <c r="E20">
        <v>1</v>
      </c>
    </row>
    <row r="21" spans="1:5" x14ac:dyDescent="0.35">
      <c r="A21">
        <v>61</v>
      </c>
      <c r="B21">
        <v>152478</v>
      </c>
      <c r="C21">
        <v>26</v>
      </c>
      <c r="D21" s="4">
        <v>1.0618264661154599</v>
      </c>
      <c r="E21">
        <v>5</v>
      </c>
    </row>
    <row r="22" spans="1:5" x14ac:dyDescent="0.35">
      <c r="A22">
        <v>47</v>
      </c>
      <c r="B22">
        <v>60222</v>
      </c>
      <c r="C22">
        <v>3</v>
      </c>
      <c r="D22" s="4">
        <v>4.7132742503509002</v>
      </c>
      <c r="E22">
        <v>10</v>
      </c>
    </row>
    <row r="23" spans="1:5" x14ac:dyDescent="0.35">
      <c r="A23">
        <v>55</v>
      </c>
      <c r="B23">
        <v>102373</v>
      </c>
      <c r="C23">
        <v>19</v>
      </c>
      <c r="D23" s="4">
        <v>2.7127365932692502</v>
      </c>
      <c r="E23">
        <v>5</v>
      </c>
    </row>
    <row r="24" spans="1:5" x14ac:dyDescent="0.35">
      <c r="A24">
        <v>19</v>
      </c>
      <c r="B24">
        <v>148684</v>
      </c>
      <c r="C24">
        <v>20</v>
      </c>
      <c r="D24" s="4">
        <v>4.8666192761746698</v>
      </c>
      <c r="E24">
        <v>4</v>
      </c>
    </row>
    <row r="25" spans="1:5" x14ac:dyDescent="0.35">
      <c r="A25">
        <v>38</v>
      </c>
      <c r="B25">
        <v>35965</v>
      </c>
      <c r="C25">
        <v>32</v>
      </c>
      <c r="D25" s="4">
        <v>4.8544799083570096</v>
      </c>
      <c r="E25">
        <v>2</v>
      </c>
    </row>
    <row r="26" spans="1:5" x14ac:dyDescent="0.35">
      <c r="A26">
        <v>50</v>
      </c>
      <c r="B26">
        <v>49538</v>
      </c>
      <c r="C26">
        <v>7</v>
      </c>
      <c r="D26">
        <v>4.4120378218694398</v>
      </c>
      <c r="E26">
        <v>10</v>
      </c>
    </row>
    <row r="27" spans="1:5" x14ac:dyDescent="0.35">
      <c r="A27">
        <v>29</v>
      </c>
      <c r="B27">
        <v>133066</v>
      </c>
      <c r="C27">
        <v>41</v>
      </c>
      <c r="D27" s="4">
        <v>2.1777955682783401</v>
      </c>
      <c r="E27">
        <v>19</v>
      </c>
    </row>
    <row r="28" spans="1:5" x14ac:dyDescent="0.35">
      <c r="A28">
        <v>39</v>
      </c>
      <c r="B28">
        <v>138252</v>
      </c>
      <c r="C28">
        <v>33</v>
      </c>
      <c r="D28" s="4">
        <v>2.5403909144077002</v>
      </c>
      <c r="E28">
        <v>1</v>
      </c>
    </row>
    <row r="29" spans="1:5" x14ac:dyDescent="0.35">
      <c r="A29">
        <v>61</v>
      </c>
      <c r="B29">
        <v>164182</v>
      </c>
      <c r="C29">
        <v>40</v>
      </c>
      <c r="D29" s="4">
        <v>4.4045466860674196</v>
      </c>
      <c r="E29">
        <v>5</v>
      </c>
    </row>
    <row r="30" spans="1:5" x14ac:dyDescent="0.35">
      <c r="A30">
        <v>42</v>
      </c>
      <c r="B30">
        <v>123806</v>
      </c>
      <c r="C30">
        <v>39</v>
      </c>
      <c r="D30" s="4">
        <v>2.2676880206251102</v>
      </c>
      <c r="E30">
        <v>13</v>
      </c>
    </row>
    <row r="31" spans="1:5" x14ac:dyDescent="0.35">
      <c r="A31">
        <v>44</v>
      </c>
      <c r="B31">
        <v>162982</v>
      </c>
      <c r="C31">
        <v>18</v>
      </c>
      <c r="D31">
        <v>1.67797098674437</v>
      </c>
      <c r="E31">
        <v>4</v>
      </c>
    </row>
    <row r="32" spans="1:5" x14ac:dyDescent="0.35">
      <c r="A32">
        <v>59</v>
      </c>
      <c r="B32">
        <v>135989</v>
      </c>
      <c r="C32">
        <v>40</v>
      </c>
      <c r="D32" s="4">
        <v>3.2272050498334002</v>
      </c>
      <c r="E32">
        <v>16</v>
      </c>
    </row>
    <row r="33" spans="1:5" x14ac:dyDescent="0.35">
      <c r="A33">
        <v>45</v>
      </c>
      <c r="B33">
        <v>115982</v>
      </c>
      <c r="C33">
        <v>1</v>
      </c>
      <c r="D33" s="4">
        <v>4.7446190966431203</v>
      </c>
      <c r="E33">
        <v>16</v>
      </c>
    </row>
    <row r="34" spans="1:5" x14ac:dyDescent="0.35">
      <c r="A34">
        <v>33</v>
      </c>
      <c r="B34">
        <v>146626</v>
      </c>
      <c r="C34">
        <v>11</v>
      </c>
      <c r="D34" s="4">
        <v>3.7841191866998898</v>
      </c>
      <c r="E34">
        <v>2</v>
      </c>
    </row>
    <row r="35" spans="1:5" x14ac:dyDescent="0.35">
      <c r="A35">
        <v>32</v>
      </c>
      <c r="B35">
        <v>144176</v>
      </c>
      <c r="C35">
        <v>28</v>
      </c>
      <c r="D35">
        <v>3.2802446803574599</v>
      </c>
      <c r="E35">
        <v>17</v>
      </c>
    </row>
    <row r="36" spans="1:5" x14ac:dyDescent="0.35">
      <c r="A36">
        <v>64</v>
      </c>
      <c r="B36">
        <v>156278</v>
      </c>
      <c r="C36">
        <v>25</v>
      </c>
      <c r="D36" s="4">
        <v>1.3887059750830699</v>
      </c>
      <c r="E36">
        <v>12</v>
      </c>
    </row>
    <row r="37" spans="1:5" x14ac:dyDescent="0.35">
      <c r="A37">
        <v>61</v>
      </c>
      <c r="B37">
        <v>147409</v>
      </c>
      <c r="C37">
        <v>23</v>
      </c>
      <c r="D37" s="4">
        <v>3.4600289067966701</v>
      </c>
      <c r="E37">
        <v>18</v>
      </c>
    </row>
    <row r="38" spans="1:5" x14ac:dyDescent="0.35">
      <c r="A38">
        <v>20</v>
      </c>
      <c r="B38">
        <v>48419</v>
      </c>
      <c r="C38">
        <v>31</v>
      </c>
      <c r="D38" s="4">
        <v>4.9602154004170496</v>
      </c>
      <c r="E38">
        <v>3</v>
      </c>
    </row>
    <row r="39" spans="1:5" x14ac:dyDescent="0.35">
      <c r="A39">
        <v>54</v>
      </c>
      <c r="B39">
        <v>75015</v>
      </c>
      <c r="C39">
        <v>30</v>
      </c>
      <c r="D39" s="4">
        <v>1.5603360609460899</v>
      </c>
      <c r="E39">
        <v>1</v>
      </c>
    </row>
    <row r="40" spans="1:5" x14ac:dyDescent="0.35">
      <c r="A40">
        <v>24</v>
      </c>
      <c r="B40">
        <v>147096</v>
      </c>
      <c r="C40">
        <v>42</v>
      </c>
      <c r="D40" s="4">
        <v>3.0733186094549398</v>
      </c>
      <c r="E40">
        <v>1</v>
      </c>
    </row>
    <row r="41" spans="1:5" x14ac:dyDescent="0.35">
      <c r="A41">
        <v>38</v>
      </c>
      <c r="B41">
        <v>132059</v>
      </c>
      <c r="C41">
        <v>35</v>
      </c>
      <c r="D41" s="4">
        <v>4.5094922877118204</v>
      </c>
      <c r="E41">
        <v>19</v>
      </c>
    </row>
    <row r="42" spans="1:5" x14ac:dyDescent="0.35">
      <c r="A42">
        <v>26</v>
      </c>
      <c r="B42">
        <v>135687</v>
      </c>
      <c r="C42">
        <v>7</v>
      </c>
      <c r="D42" s="4">
        <v>3.9630744710168102</v>
      </c>
      <c r="E42">
        <v>11</v>
      </c>
    </row>
    <row r="43" spans="1:5" x14ac:dyDescent="0.35">
      <c r="A43">
        <v>56</v>
      </c>
      <c r="B43">
        <v>112939</v>
      </c>
      <c r="C43">
        <v>16</v>
      </c>
      <c r="D43" s="4">
        <v>3.7880629639810701</v>
      </c>
      <c r="E43">
        <v>5</v>
      </c>
    </row>
    <row r="44" spans="1:5" x14ac:dyDescent="0.35">
      <c r="A44">
        <v>35</v>
      </c>
      <c r="B44">
        <v>174213</v>
      </c>
      <c r="C44">
        <v>26</v>
      </c>
      <c r="D44" s="4">
        <v>3.80993633594843</v>
      </c>
      <c r="E44">
        <v>12</v>
      </c>
    </row>
    <row r="45" spans="1:5" x14ac:dyDescent="0.35">
      <c r="A45">
        <v>21</v>
      </c>
      <c r="B45">
        <v>130878</v>
      </c>
      <c r="C45">
        <v>48</v>
      </c>
      <c r="D45" s="4">
        <v>2.4379646048790198</v>
      </c>
      <c r="E45">
        <v>3</v>
      </c>
    </row>
    <row r="46" spans="1:5" x14ac:dyDescent="0.35">
      <c r="A46">
        <v>42</v>
      </c>
      <c r="B46">
        <v>87623</v>
      </c>
      <c r="C46">
        <v>49</v>
      </c>
      <c r="D46" s="4">
        <v>2.1743673770579699</v>
      </c>
      <c r="E46">
        <v>1</v>
      </c>
    </row>
    <row r="47" spans="1:5" x14ac:dyDescent="0.35">
      <c r="A47">
        <v>31</v>
      </c>
      <c r="B47">
        <v>100450</v>
      </c>
      <c r="C47">
        <v>2</v>
      </c>
      <c r="D47" s="4">
        <v>4.23744462191405</v>
      </c>
      <c r="E47">
        <v>1</v>
      </c>
    </row>
    <row r="48" spans="1:5" x14ac:dyDescent="0.35">
      <c r="A48">
        <v>26</v>
      </c>
      <c r="B48">
        <v>118426</v>
      </c>
      <c r="C48">
        <v>1</v>
      </c>
      <c r="D48" s="4">
        <v>4.2404535787167204</v>
      </c>
      <c r="E48">
        <v>8</v>
      </c>
    </row>
    <row r="49" spans="1:5" x14ac:dyDescent="0.35">
      <c r="A49">
        <v>43</v>
      </c>
      <c r="B49">
        <v>142845</v>
      </c>
      <c r="C49">
        <v>48</v>
      </c>
      <c r="D49" s="4">
        <v>4.4682892743204103</v>
      </c>
      <c r="E49">
        <v>10</v>
      </c>
    </row>
    <row r="50" spans="1:5" x14ac:dyDescent="0.35">
      <c r="A50">
        <v>19</v>
      </c>
      <c r="B50">
        <v>178371</v>
      </c>
      <c r="C50">
        <v>12</v>
      </c>
      <c r="D50" s="4">
        <v>4.6529622102258799</v>
      </c>
      <c r="E50">
        <v>11</v>
      </c>
    </row>
    <row r="51" spans="1:5" x14ac:dyDescent="0.35">
      <c r="A51">
        <v>37</v>
      </c>
      <c r="B51">
        <v>68585</v>
      </c>
      <c r="C51">
        <v>5</v>
      </c>
      <c r="D51" s="4">
        <v>3.0453695954437499</v>
      </c>
      <c r="E51">
        <v>12</v>
      </c>
    </row>
    <row r="52" spans="1:5" x14ac:dyDescent="0.35">
      <c r="A52">
        <v>45</v>
      </c>
      <c r="B52">
        <v>134225</v>
      </c>
      <c r="C52">
        <v>37</v>
      </c>
      <c r="D52" s="4">
        <v>3.00606517874879</v>
      </c>
      <c r="E52">
        <v>13</v>
      </c>
    </row>
    <row r="53" spans="1:5" x14ac:dyDescent="0.35">
      <c r="A53">
        <v>64</v>
      </c>
      <c r="B53">
        <v>89044</v>
      </c>
      <c r="C53">
        <v>32</v>
      </c>
      <c r="D53" s="4">
        <v>4.1931807158670997</v>
      </c>
      <c r="E53">
        <v>12</v>
      </c>
    </row>
    <row r="54" spans="1:5" x14ac:dyDescent="0.35">
      <c r="A54">
        <v>24</v>
      </c>
      <c r="B54">
        <v>134556</v>
      </c>
      <c r="C54">
        <v>9</v>
      </c>
      <c r="D54" s="4">
        <v>3.5998557231110602</v>
      </c>
      <c r="E54">
        <v>14</v>
      </c>
    </row>
    <row r="55" spans="1:5" x14ac:dyDescent="0.35">
      <c r="A55">
        <v>61</v>
      </c>
      <c r="B55">
        <v>27693</v>
      </c>
      <c r="C55">
        <v>41</v>
      </c>
      <c r="D55" s="4">
        <v>3.8078675090308098</v>
      </c>
      <c r="E55">
        <v>2</v>
      </c>
    </row>
    <row r="56" spans="1:5" x14ac:dyDescent="0.35">
      <c r="A56">
        <v>25</v>
      </c>
      <c r="B56">
        <v>120259</v>
      </c>
      <c r="C56">
        <v>35</v>
      </c>
      <c r="D56" s="4">
        <v>4.1831706777443998</v>
      </c>
      <c r="E56">
        <v>19</v>
      </c>
    </row>
    <row r="57" spans="1:5" x14ac:dyDescent="0.35">
      <c r="A57">
        <v>64</v>
      </c>
      <c r="B57">
        <v>50939</v>
      </c>
      <c r="C57">
        <v>19</v>
      </c>
      <c r="D57" s="4">
        <v>4.5600213672702603</v>
      </c>
      <c r="E57">
        <v>18</v>
      </c>
    </row>
    <row r="58" spans="1:5" x14ac:dyDescent="0.35">
      <c r="A58">
        <v>52</v>
      </c>
      <c r="B58">
        <v>177906</v>
      </c>
      <c r="C58">
        <v>48</v>
      </c>
      <c r="D58" s="4">
        <v>2.3519806274061401</v>
      </c>
      <c r="E58">
        <v>3</v>
      </c>
    </row>
    <row r="59" spans="1:5" x14ac:dyDescent="0.35">
      <c r="A59">
        <v>31</v>
      </c>
      <c r="B59">
        <v>43047</v>
      </c>
      <c r="C59">
        <v>16</v>
      </c>
      <c r="D59" s="4">
        <v>2.5023318105597698</v>
      </c>
      <c r="E59">
        <v>17</v>
      </c>
    </row>
    <row r="60" spans="1:5" x14ac:dyDescent="0.35">
      <c r="A60">
        <v>34</v>
      </c>
      <c r="B60">
        <v>51105</v>
      </c>
      <c r="C60">
        <v>3</v>
      </c>
      <c r="D60" s="4">
        <v>1.37592775936347</v>
      </c>
      <c r="E60">
        <v>8</v>
      </c>
    </row>
    <row r="61" spans="1:5" x14ac:dyDescent="0.35">
      <c r="A61">
        <v>53</v>
      </c>
      <c r="B61">
        <v>100766</v>
      </c>
      <c r="C61">
        <v>20</v>
      </c>
      <c r="D61" s="4">
        <v>3.3131205639846901</v>
      </c>
      <c r="E61">
        <v>10</v>
      </c>
    </row>
    <row r="62" spans="1:5" x14ac:dyDescent="0.35">
      <c r="A62">
        <v>57</v>
      </c>
      <c r="B62">
        <v>171779</v>
      </c>
      <c r="C62">
        <v>24</v>
      </c>
      <c r="D62" s="4">
        <v>1.1437690951869599</v>
      </c>
      <c r="E62">
        <v>2</v>
      </c>
    </row>
    <row r="63" spans="1:5" x14ac:dyDescent="0.35">
      <c r="A63">
        <v>21</v>
      </c>
      <c r="B63">
        <v>178048</v>
      </c>
      <c r="C63">
        <v>33</v>
      </c>
      <c r="D63" s="4">
        <v>2.8623920725298402</v>
      </c>
      <c r="E63">
        <v>19</v>
      </c>
    </row>
    <row r="64" spans="1:5" x14ac:dyDescent="0.35">
      <c r="A64">
        <v>19</v>
      </c>
      <c r="B64">
        <v>69262</v>
      </c>
      <c r="C64">
        <v>24</v>
      </c>
      <c r="D64" s="4">
        <v>3.1705785388302998</v>
      </c>
      <c r="E64">
        <v>9</v>
      </c>
    </row>
    <row r="65" spans="1:5" x14ac:dyDescent="0.35">
      <c r="A65">
        <v>23</v>
      </c>
      <c r="B65">
        <v>150117</v>
      </c>
      <c r="C65">
        <v>11</v>
      </c>
      <c r="D65" s="4">
        <v>2.1461650085131301</v>
      </c>
      <c r="E65">
        <v>7</v>
      </c>
    </row>
    <row r="66" spans="1:5" x14ac:dyDescent="0.35">
      <c r="A66">
        <v>59</v>
      </c>
      <c r="B66">
        <v>48776</v>
      </c>
      <c r="C66">
        <v>49</v>
      </c>
      <c r="D66" s="4">
        <v>3.3633330422760399</v>
      </c>
      <c r="E66">
        <v>4</v>
      </c>
    </row>
    <row r="67" spans="1:5" x14ac:dyDescent="0.35">
      <c r="A67">
        <v>21</v>
      </c>
      <c r="B67">
        <v>153376</v>
      </c>
      <c r="C67">
        <v>8</v>
      </c>
      <c r="D67" s="4">
        <v>1.1220009997561899</v>
      </c>
      <c r="E67">
        <v>18</v>
      </c>
    </row>
    <row r="68" spans="1:5" x14ac:dyDescent="0.35">
      <c r="A68">
        <v>46</v>
      </c>
      <c r="B68">
        <v>162848</v>
      </c>
      <c r="C68">
        <v>36</v>
      </c>
      <c r="D68" s="4">
        <v>1.1493927549968499</v>
      </c>
      <c r="E68">
        <v>13</v>
      </c>
    </row>
    <row r="69" spans="1:5" x14ac:dyDescent="0.35">
      <c r="A69">
        <v>35</v>
      </c>
      <c r="B69">
        <v>117787</v>
      </c>
      <c r="C69">
        <v>38</v>
      </c>
      <c r="D69" s="4">
        <v>4.2904022426386303</v>
      </c>
      <c r="E69">
        <v>11</v>
      </c>
    </row>
    <row r="70" spans="1:5" x14ac:dyDescent="0.35">
      <c r="A70">
        <v>43</v>
      </c>
      <c r="B70">
        <v>152948</v>
      </c>
      <c r="C70">
        <v>40</v>
      </c>
      <c r="D70" s="4">
        <v>2.4407625656450498</v>
      </c>
      <c r="E70">
        <v>4</v>
      </c>
    </row>
    <row r="71" spans="1:5" x14ac:dyDescent="0.35">
      <c r="A71">
        <v>61</v>
      </c>
      <c r="B71">
        <v>80016</v>
      </c>
      <c r="C71">
        <v>20</v>
      </c>
      <c r="D71" s="4">
        <v>1.50824205060753</v>
      </c>
      <c r="E71">
        <v>4</v>
      </c>
    </row>
    <row r="72" spans="1:5" x14ac:dyDescent="0.35">
      <c r="A72">
        <v>51</v>
      </c>
      <c r="B72">
        <v>165546</v>
      </c>
      <c r="C72">
        <v>35</v>
      </c>
      <c r="D72" s="4">
        <v>3.0889730402192099</v>
      </c>
      <c r="E72">
        <v>10</v>
      </c>
    </row>
    <row r="73" spans="1:5" x14ac:dyDescent="0.35">
      <c r="A73">
        <v>27</v>
      </c>
      <c r="B73">
        <v>46959</v>
      </c>
      <c r="C73">
        <v>48</v>
      </c>
      <c r="D73" s="4">
        <v>4.0799742123944398</v>
      </c>
      <c r="E73">
        <v>5</v>
      </c>
    </row>
    <row r="74" spans="1:5" x14ac:dyDescent="0.35">
      <c r="A74">
        <v>53</v>
      </c>
      <c r="B74">
        <v>161602</v>
      </c>
      <c r="C74">
        <v>25</v>
      </c>
      <c r="D74" s="4">
        <v>1.86328410998737</v>
      </c>
      <c r="E74">
        <v>9</v>
      </c>
    </row>
    <row r="75" spans="1:5" x14ac:dyDescent="0.35">
      <c r="A75">
        <v>31</v>
      </c>
      <c r="B75">
        <v>144101</v>
      </c>
      <c r="C75">
        <v>35</v>
      </c>
      <c r="D75" s="4">
        <v>3.4915619032760001</v>
      </c>
      <c r="E75">
        <v>3</v>
      </c>
    </row>
    <row r="76" spans="1:5" x14ac:dyDescent="0.35">
      <c r="A76">
        <v>48</v>
      </c>
      <c r="B76">
        <v>28748</v>
      </c>
      <c r="C76">
        <v>25</v>
      </c>
      <c r="D76" s="4">
        <v>1.34138985997507</v>
      </c>
      <c r="E76">
        <v>17</v>
      </c>
    </row>
    <row r="77" spans="1:5" x14ac:dyDescent="0.35">
      <c r="A77">
        <v>32</v>
      </c>
      <c r="B77">
        <v>38545</v>
      </c>
      <c r="C77">
        <v>29</v>
      </c>
      <c r="D77" s="4">
        <v>1.2067268846744299</v>
      </c>
      <c r="E77">
        <v>3</v>
      </c>
    </row>
    <row r="78" spans="1:5" x14ac:dyDescent="0.35">
      <c r="A78">
        <v>25</v>
      </c>
      <c r="B78">
        <v>152659</v>
      </c>
      <c r="C78">
        <v>18</v>
      </c>
      <c r="D78" s="4">
        <v>3.1254185262725902</v>
      </c>
      <c r="E78">
        <v>16</v>
      </c>
    </row>
    <row r="79" spans="1:5" x14ac:dyDescent="0.35">
      <c r="A79">
        <v>31</v>
      </c>
      <c r="B79">
        <v>98530</v>
      </c>
      <c r="C79">
        <v>46</v>
      </c>
      <c r="D79" s="4">
        <v>3.1625404864404199</v>
      </c>
      <c r="E79">
        <v>4</v>
      </c>
    </row>
    <row r="80" spans="1:5" x14ac:dyDescent="0.35">
      <c r="A80">
        <v>40</v>
      </c>
      <c r="B80">
        <v>118557</v>
      </c>
      <c r="C80">
        <v>18</v>
      </c>
      <c r="D80" s="4">
        <v>3.54971960599282</v>
      </c>
      <c r="E80">
        <v>18</v>
      </c>
    </row>
    <row r="81" spans="1:5" x14ac:dyDescent="0.35">
      <c r="A81">
        <v>57</v>
      </c>
      <c r="B81">
        <v>86087</v>
      </c>
      <c r="C81">
        <v>2</v>
      </c>
      <c r="D81" s="4">
        <v>3.90436533489064</v>
      </c>
      <c r="E81">
        <v>17</v>
      </c>
    </row>
    <row r="82" spans="1:5" x14ac:dyDescent="0.35">
      <c r="A82">
        <v>38</v>
      </c>
      <c r="B82">
        <v>93840</v>
      </c>
      <c r="C82">
        <v>35</v>
      </c>
      <c r="D82" s="4">
        <v>4.90340831785013</v>
      </c>
      <c r="E82">
        <v>7</v>
      </c>
    </row>
    <row r="83" spans="1:5" x14ac:dyDescent="0.35">
      <c r="A83">
        <v>33</v>
      </c>
      <c r="B83">
        <v>143451</v>
      </c>
      <c r="C83">
        <v>16</v>
      </c>
      <c r="D83" s="4">
        <v>3.0652013932047799</v>
      </c>
      <c r="E83">
        <v>5</v>
      </c>
    </row>
    <row r="84" spans="1:5" x14ac:dyDescent="0.35">
      <c r="A84">
        <v>62</v>
      </c>
      <c r="B84">
        <v>76005</v>
      </c>
      <c r="C84">
        <v>41</v>
      </c>
      <c r="D84" s="4">
        <v>2.2918258917649799</v>
      </c>
      <c r="E84">
        <v>12</v>
      </c>
    </row>
    <row r="85" spans="1:5" x14ac:dyDescent="0.35">
      <c r="A85">
        <v>35</v>
      </c>
      <c r="B85">
        <v>64353</v>
      </c>
      <c r="C85">
        <v>36</v>
      </c>
      <c r="D85" s="4">
        <v>4.1807447790748098</v>
      </c>
      <c r="E85">
        <v>17</v>
      </c>
    </row>
    <row r="86" spans="1:5" x14ac:dyDescent="0.35">
      <c r="A86">
        <v>64</v>
      </c>
      <c r="B86">
        <v>77733</v>
      </c>
      <c r="C86">
        <v>33</v>
      </c>
      <c r="D86" s="4">
        <v>2.0833290050482902</v>
      </c>
      <c r="E86">
        <v>13</v>
      </c>
    </row>
    <row r="87" spans="1:5" x14ac:dyDescent="0.35">
      <c r="A87">
        <v>41</v>
      </c>
      <c r="B87">
        <v>90318</v>
      </c>
      <c r="C87">
        <v>4</v>
      </c>
      <c r="D87" s="4">
        <v>2.75588568282254</v>
      </c>
      <c r="E87">
        <v>3</v>
      </c>
    </row>
    <row r="88" spans="1:5" x14ac:dyDescent="0.35">
      <c r="A88">
        <v>43</v>
      </c>
      <c r="B88">
        <v>179736</v>
      </c>
      <c r="C88">
        <v>33</v>
      </c>
      <c r="D88" s="4">
        <v>1.3138255253690601</v>
      </c>
      <c r="E88">
        <v>9</v>
      </c>
    </row>
    <row r="89" spans="1:5" x14ac:dyDescent="0.35">
      <c r="A89">
        <v>42</v>
      </c>
      <c r="B89">
        <v>92172</v>
      </c>
      <c r="C89">
        <v>14</v>
      </c>
      <c r="D89">
        <v>1.10140297366183</v>
      </c>
      <c r="E89">
        <v>17</v>
      </c>
    </row>
    <row r="90" spans="1:5" x14ac:dyDescent="0.35">
      <c r="A90">
        <v>62</v>
      </c>
      <c r="B90">
        <v>118264</v>
      </c>
      <c r="C90">
        <v>21</v>
      </c>
      <c r="D90">
        <v>4.8505936587117002</v>
      </c>
      <c r="E90">
        <v>17</v>
      </c>
    </row>
    <row r="91" spans="1:5" x14ac:dyDescent="0.35">
      <c r="A91">
        <v>58</v>
      </c>
      <c r="B91">
        <v>51736</v>
      </c>
      <c r="C91">
        <v>48</v>
      </c>
      <c r="D91" s="4">
        <v>4.3439204820488202</v>
      </c>
      <c r="E91">
        <v>16</v>
      </c>
    </row>
    <row r="92" spans="1:5" x14ac:dyDescent="0.35">
      <c r="A92">
        <v>46</v>
      </c>
      <c r="B92">
        <v>137859</v>
      </c>
      <c r="C92">
        <v>20</v>
      </c>
      <c r="D92" s="4">
        <v>3.7838968243747901</v>
      </c>
      <c r="E92">
        <v>13</v>
      </c>
    </row>
    <row r="93" spans="1:5" x14ac:dyDescent="0.35">
      <c r="A93">
        <v>32</v>
      </c>
      <c r="B93">
        <v>137181</v>
      </c>
      <c r="C93">
        <v>8</v>
      </c>
      <c r="D93" s="4">
        <v>2.6358117776570702</v>
      </c>
      <c r="E93">
        <v>19</v>
      </c>
    </row>
    <row r="94" spans="1:5" x14ac:dyDescent="0.35">
      <c r="A94">
        <v>62</v>
      </c>
      <c r="B94">
        <v>156926</v>
      </c>
      <c r="C94">
        <v>7</v>
      </c>
      <c r="D94" s="4">
        <v>1.69317728028338</v>
      </c>
      <c r="E94">
        <v>17</v>
      </c>
    </row>
    <row r="95" spans="1:5" x14ac:dyDescent="0.35">
      <c r="A95">
        <v>18</v>
      </c>
      <c r="B95">
        <v>115084</v>
      </c>
      <c r="C95">
        <v>3</v>
      </c>
      <c r="D95" s="4">
        <v>1.62574817068434</v>
      </c>
      <c r="E95">
        <v>4</v>
      </c>
    </row>
    <row r="96" spans="1:5" x14ac:dyDescent="0.35">
      <c r="A96">
        <v>42</v>
      </c>
      <c r="B96">
        <v>32392</v>
      </c>
      <c r="C96">
        <v>17</v>
      </c>
      <c r="D96" s="4">
        <v>2.00097159265838</v>
      </c>
      <c r="E96">
        <v>12</v>
      </c>
    </row>
    <row r="97" spans="1:6" x14ac:dyDescent="0.35">
      <c r="A97">
        <v>24</v>
      </c>
      <c r="B97">
        <v>80680</v>
      </c>
      <c r="C97">
        <v>33</v>
      </c>
      <c r="D97" s="4">
        <v>3.1969066588244801</v>
      </c>
      <c r="E97">
        <v>9</v>
      </c>
    </row>
    <row r="98" spans="1:6" x14ac:dyDescent="0.35">
      <c r="A98">
        <v>26</v>
      </c>
      <c r="B98">
        <v>75859</v>
      </c>
      <c r="C98">
        <v>48</v>
      </c>
      <c r="D98" s="4">
        <v>3.85838369080024</v>
      </c>
      <c r="E98">
        <v>19</v>
      </c>
    </row>
    <row r="99" spans="1:6" x14ac:dyDescent="0.35">
      <c r="A99">
        <v>41</v>
      </c>
      <c r="B99">
        <v>150657</v>
      </c>
      <c r="C99">
        <v>12</v>
      </c>
      <c r="D99" s="4">
        <v>3.6407895068709202</v>
      </c>
      <c r="E99">
        <v>12</v>
      </c>
    </row>
    <row r="100" spans="1:6" x14ac:dyDescent="0.35">
      <c r="A100">
        <v>18</v>
      </c>
      <c r="B100">
        <v>95467</v>
      </c>
      <c r="C100">
        <v>22</v>
      </c>
      <c r="D100" s="4">
        <v>2.11973558778377</v>
      </c>
      <c r="E100">
        <v>9</v>
      </c>
    </row>
    <row r="101" spans="1:6" x14ac:dyDescent="0.35">
      <c r="A101">
        <v>61</v>
      </c>
      <c r="B101">
        <v>123506</v>
      </c>
      <c r="C101">
        <v>22</v>
      </c>
      <c r="D101" s="4">
        <v>4.8194611226527702</v>
      </c>
      <c r="E101">
        <v>7</v>
      </c>
    </row>
    <row r="102" spans="1:6" x14ac:dyDescent="0.35">
      <c r="A102" s="7">
        <f>AVERAGE(A2:A101)</f>
        <v>40.880000000000003</v>
      </c>
      <c r="B102" s="6" t="s">
        <v>7</v>
      </c>
    </row>
    <row r="103" spans="1:6" x14ac:dyDescent="0.35">
      <c r="A103" s="6">
        <f>MEDIAN(A2:A101)</f>
        <v>41</v>
      </c>
      <c r="B103" s="6" t="s">
        <v>6</v>
      </c>
    </row>
    <row r="104" spans="1:6" x14ac:dyDescent="0.35">
      <c r="A104" s="6">
        <f>MODE(A2:A101)</f>
        <v>61</v>
      </c>
      <c r="B104" s="6" t="s">
        <v>5</v>
      </c>
    </row>
    <row r="106" spans="1:6" x14ac:dyDescent="0.35">
      <c r="B106" s="7">
        <f>_xlfn.STDEV.S(B2:B101)</f>
        <v>44418.086324573604</v>
      </c>
      <c r="C106" s="6" t="s">
        <v>17</v>
      </c>
      <c r="D106" s="6"/>
    </row>
    <row r="108" spans="1:6" x14ac:dyDescent="0.35">
      <c r="D108" t="s">
        <v>18</v>
      </c>
      <c r="E108" t="s">
        <v>19</v>
      </c>
      <c r="F108" t="s">
        <v>20</v>
      </c>
    </row>
    <row r="109" spans="1:6" x14ac:dyDescent="0.35">
      <c r="D109">
        <v>158767</v>
      </c>
      <c r="E109" s="3">
        <f>D109-$B$106</f>
        <v>114348.91367542639</v>
      </c>
      <c r="F109" s="3">
        <f>E109*E109</f>
        <v>13075674058.750116</v>
      </c>
    </row>
    <row r="110" spans="1:6" x14ac:dyDescent="0.35">
      <c r="A110" s="6">
        <f>MIN(A2:A101)</f>
        <v>18</v>
      </c>
      <c r="B110" s="6" t="s">
        <v>28</v>
      </c>
      <c r="D110">
        <v>149375</v>
      </c>
      <c r="E110" s="3">
        <f t="shared" ref="E110:E173" si="0">D110-$B$106</f>
        <v>104956.91367542639</v>
      </c>
      <c r="F110" s="3">
        <f t="shared" ref="F110:F173" si="1">E110*E110</f>
        <v>11015953728.270906</v>
      </c>
    </row>
    <row r="111" spans="1:6" x14ac:dyDescent="0.35">
      <c r="A111" s="6">
        <f>MAX(A2:A101)</f>
        <v>64</v>
      </c>
      <c r="B111" s="6" t="s">
        <v>29</v>
      </c>
      <c r="D111">
        <v>161330</v>
      </c>
      <c r="E111" s="3">
        <f t="shared" si="0"/>
        <v>116911.91367542639</v>
      </c>
      <c r="F111" s="3">
        <f t="shared" si="1"/>
        <v>13668395559.250353</v>
      </c>
    </row>
    <row r="112" spans="1:6" x14ac:dyDescent="0.35">
      <c r="A112" s="6">
        <f>MIN(B2:B101)</f>
        <v>27693</v>
      </c>
      <c r="B112" s="6" t="s">
        <v>30</v>
      </c>
      <c r="D112">
        <v>64504</v>
      </c>
      <c r="E112" s="3">
        <f t="shared" si="0"/>
        <v>20085.913675426396</v>
      </c>
      <c r="F112" s="3">
        <f t="shared" si="1"/>
        <v>403443928.1766811</v>
      </c>
    </row>
    <row r="113" spans="1:6" x14ac:dyDescent="0.35">
      <c r="A113" s="6">
        <f>MAX(B2:B101)</f>
        <v>179736</v>
      </c>
      <c r="B113" s="6" t="s">
        <v>31</v>
      </c>
      <c r="D113">
        <v>38986</v>
      </c>
      <c r="E113" s="3">
        <f t="shared" si="0"/>
        <v>-5432.0863245736036</v>
      </c>
      <c r="F113" s="3">
        <f t="shared" si="1"/>
        <v>29507561.837619562</v>
      </c>
    </row>
    <row r="114" spans="1:6" x14ac:dyDescent="0.35">
      <c r="B114" s="9"/>
      <c r="C114" s="9"/>
      <c r="D114">
        <v>86858</v>
      </c>
      <c r="E114" s="3">
        <f t="shared" si="0"/>
        <v>42439.913675426396</v>
      </c>
      <c r="F114" s="3">
        <f t="shared" si="1"/>
        <v>1801146272.7776444</v>
      </c>
    </row>
    <row r="115" spans="1:6" x14ac:dyDescent="0.35">
      <c r="B115" s="9"/>
      <c r="C115" s="9"/>
      <c r="D115">
        <v>154312</v>
      </c>
      <c r="E115" s="3">
        <f t="shared" si="0"/>
        <v>109893.91367542639</v>
      </c>
      <c r="F115" s="3">
        <f t="shared" si="1"/>
        <v>12076672262.902067</v>
      </c>
    </row>
    <row r="116" spans="1:6" x14ac:dyDescent="0.35">
      <c r="D116">
        <v>37666</v>
      </c>
      <c r="E116" s="3">
        <f t="shared" si="0"/>
        <v>-6752.0863245736036</v>
      </c>
      <c r="F116" s="3">
        <f t="shared" si="1"/>
        <v>45590669.734493874</v>
      </c>
    </row>
    <row r="117" spans="1:6" x14ac:dyDescent="0.35">
      <c r="D117">
        <v>63660</v>
      </c>
      <c r="E117" s="3">
        <f t="shared" si="0"/>
        <v>19241.913675426396</v>
      </c>
      <c r="F117" s="3">
        <f t="shared" si="1"/>
        <v>370251241.89256138</v>
      </c>
    </row>
    <row r="118" spans="1:6" x14ac:dyDescent="0.35">
      <c r="B118" s="6" t="s">
        <v>60</v>
      </c>
      <c r="C118" s="6">
        <f>SKEW(C2:C101)</f>
        <v>4.8663601904092149E-2</v>
      </c>
      <c r="D118">
        <v>159633</v>
      </c>
      <c r="E118" s="3">
        <f t="shared" si="0"/>
        <v>115214.91367542639</v>
      </c>
      <c r="F118" s="3">
        <f t="shared" si="1"/>
        <v>13274476333.235954</v>
      </c>
    </row>
    <row r="119" spans="1:6" x14ac:dyDescent="0.35">
      <c r="B119" s="6" t="s">
        <v>59</v>
      </c>
      <c r="C119" s="6">
        <f>KURT(C2:C101)</f>
        <v>-1.055159061973828</v>
      </c>
      <c r="D119">
        <v>51854</v>
      </c>
      <c r="E119" s="3">
        <f t="shared" si="0"/>
        <v>7435.9136754263964</v>
      </c>
      <c r="F119" s="3">
        <f t="shared" si="1"/>
        <v>55292812.188393302</v>
      </c>
    </row>
    <row r="120" spans="1:6" x14ac:dyDescent="0.35">
      <c r="D120">
        <v>89505</v>
      </c>
      <c r="E120" s="3">
        <f t="shared" si="0"/>
        <v>45086.913675426396</v>
      </c>
      <c r="F120" s="3">
        <f t="shared" si="1"/>
        <v>2032829784.7753518</v>
      </c>
    </row>
    <row r="121" spans="1:6" x14ac:dyDescent="0.35">
      <c r="D121">
        <v>129488</v>
      </c>
      <c r="E121" s="3">
        <f t="shared" si="0"/>
        <v>85069.913675426389</v>
      </c>
      <c r="F121" s="3">
        <f t="shared" si="1"/>
        <v>7236890212.7444973</v>
      </c>
    </row>
    <row r="122" spans="1:6" x14ac:dyDescent="0.35">
      <c r="D122">
        <v>47662</v>
      </c>
      <c r="E122" s="3">
        <f t="shared" si="0"/>
        <v>3243.9136754263964</v>
      </c>
      <c r="F122" s="3">
        <f t="shared" si="1"/>
        <v>10522975.933618391</v>
      </c>
    </row>
    <row r="123" spans="1:6" x14ac:dyDescent="0.35">
      <c r="B123" s="6">
        <f>SKEW(B2:B101)</f>
        <v>-0.25307872181127566</v>
      </c>
      <c r="C123" s="6" t="s">
        <v>78</v>
      </c>
      <c r="D123">
        <v>33392</v>
      </c>
      <c r="E123" s="3">
        <f t="shared" si="0"/>
        <v>-11026.086324573604</v>
      </c>
      <c r="F123" s="3">
        <f t="shared" si="1"/>
        <v>121574579.63694903</v>
      </c>
    </row>
    <row r="124" spans="1:6" x14ac:dyDescent="0.35">
      <c r="B124" s="6">
        <f>KURT(B2:B101)</f>
        <v>-1.2236234886974053</v>
      </c>
      <c r="C124" s="6" t="s">
        <v>79</v>
      </c>
      <c r="D124">
        <v>55535</v>
      </c>
      <c r="E124" s="3">
        <f t="shared" si="0"/>
        <v>11116.913675426396</v>
      </c>
      <c r="F124" s="3">
        <f t="shared" si="1"/>
        <v>123585769.66688243</v>
      </c>
    </row>
    <row r="125" spans="1:6" x14ac:dyDescent="0.35">
      <c r="D125">
        <v>138569</v>
      </c>
      <c r="E125" s="3">
        <f t="shared" si="0"/>
        <v>94150.913675426389</v>
      </c>
      <c r="F125" s="3">
        <f t="shared" si="1"/>
        <v>8864394545.9175911</v>
      </c>
    </row>
    <row r="126" spans="1:6" x14ac:dyDescent="0.35">
      <c r="D126">
        <v>77256</v>
      </c>
      <c r="E126" s="3">
        <f t="shared" si="0"/>
        <v>32837.913675426396</v>
      </c>
      <c r="F126" s="3">
        <f t="shared" si="1"/>
        <v>1078328574.5547559</v>
      </c>
    </row>
    <row r="127" spans="1:6" x14ac:dyDescent="0.35">
      <c r="D127">
        <v>114135</v>
      </c>
      <c r="E127" s="3">
        <f t="shared" si="0"/>
        <v>69716.913675426389</v>
      </c>
      <c r="F127" s="3">
        <f t="shared" si="1"/>
        <v>4860448052.4268551</v>
      </c>
    </row>
    <row r="128" spans="1:6" x14ac:dyDescent="0.35">
      <c r="D128">
        <v>152478</v>
      </c>
      <c r="E128" s="3">
        <f t="shared" si="0"/>
        <v>108059.91367542639</v>
      </c>
      <c r="F128" s="3">
        <f t="shared" si="1"/>
        <v>11676944943.540604</v>
      </c>
    </row>
    <row r="129" spans="2:6" x14ac:dyDescent="0.35">
      <c r="D129">
        <v>60222</v>
      </c>
      <c r="E129" s="3">
        <f t="shared" si="0"/>
        <v>15803.913675426396</v>
      </c>
      <c r="F129" s="3">
        <f t="shared" si="1"/>
        <v>249763687.46032947</v>
      </c>
    </row>
    <row r="130" spans="2:6" x14ac:dyDescent="0.35">
      <c r="D130">
        <v>102373</v>
      </c>
      <c r="E130" s="3">
        <f t="shared" si="0"/>
        <v>57954.913675426396</v>
      </c>
      <c r="F130" s="3">
        <f t="shared" si="1"/>
        <v>3358772019.1261253</v>
      </c>
    </row>
    <row r="131" spans="2:6" x14ac:dyDescent="0.35">
      <c r="D131">
        <v>148684</v>
      </c>
      <c r="E131" s="3">
        <f t="shared" si="0"/>
        <v>104265.91367542639</v>
      </c>
      <c r="F131" s="3">
        <f t="shared" si="1"/>
        <v>10871380754.571468</v>
      </c>
    </row>
    <row r="132" spans="2:6" x14ac:dyDescent="0.35">
      <c r="D132">
        <v>35965</v>
      </c>
      <c r="E132" s="3">
        <f t="shared" si="0"/>
        <v>-8453.0863245736036</v>
      </c>
      <c r="F132" s="3">
        <f t="shared" si="1"/>
        <v>71454668.410693273</v>
      </c>
    </row>
    <row r="133" spans="2:6" x14ac:dyDescent="0.35">
      <c r="D133">
        <v>49538</v>
      </c>
      <c r="E133" s="3">
        <f t="shared" si="0"/>
        <v>5119.9136754263964</v>
      </c>
      <c r="F133" s="3">
        <f t="shared" si="1"/>
        <v>26213516.043818232</v>
      </c>
    </row>
    <row r="134" spans="2:6" x14ac:dyDescent="0.35">
      <c r="B134">
        <f>_xlfn.STDEV.S(D2:D101)</f>
        <v>1.1712801306942608</v>
      </c>
      <c r="C134" t="s">
        <v>80</v>
      </c>
      <c r="D134">
        <v>133066</v>
      </c>
      <c r="E134" s="3">
        <f t="shared" si="0"/>
        <v>88647.913675426389</v>
      </c>
      <c r="F134" s="3">
        <f t="shared" si="1"/>
        <v>7858452599.0058489</v>
      </c>
    </row>
    <row r="135" spans="2:6" x14ac:dyDescent="0.35">
      <c r="B135">
        <f>AVERAGE(D2:D101)</f>
        <v>3.135648299226133</v>
      </c>
      <c r="C135" t="s">
        <v>81</v>
      </c>
      <c r="D135">
        <v>138252</v>
      </c>
      <c r="E135" s="3">
        <f t="shared" si="0"/>
        <v>93833.913675426389</v>
      </c>
      <c r="F135" s="3">
        <f t="shared" si="1"/>
        <v>8804803355.6473713</v>
      </c>
    </row>
    <row r="136" spans="2:6" x14ac:dyDescent="0.35">
      <c r="D136">
        <v>164182</v>
      </c>
      <c r="E136" s="3">
        <f t="shared" si="0"/>
        <v>119763.91367542639</v>
      </c>
      <c r="F136" s="3">
        <f t="shared" si="1"/>
        <v>14343395018.854984</v>
      </c>
    </row>
    <row r="137" spans="2:6" x14ac:dyDescent="0.35">
      <c r="D137">
        <v>123806</v>
      </c>
      <c r="E137" s="3">
        <f t="shared" si="0"/>
        <v>79387.913675426389</v>
      </c>
      <c r="F137" s="3">
        <f t="shared" si="1"/>
        <v>6302440837.7369518</v>
      </c>
    </row>
    <row r="138" spans="2:6" x14ac:dyDescent="0.35">
      <c r="D138">
        <v>162982</v>
      </c>
      <c r="E138" s="3">
        <f t="shared" si="0"/>
        <v>118563.91367542639</v>
      </c>
      <c r="F138" s="3">
        <f t="shared" si="1"/>
        <v>14057401626.03396</v>
      </c>
    </row>
    <row r="139" spans="2:6" x14ac:dyDescent="0.35">
      <c r="D139">
        <v>135989</v>
      </c>
      <c r="E139" s="3">
        <f t="shared" si="0"/>
        <v>91570.913675426389</v>
      </c>
      <c r="F139" s="3">
        <f t="shared" si="1"/>
        <v>8385232231.3523912</v>
      </c>
    </row>
    <row r="140" spans="2:6" x14ac:dyDescent="0.35">
      <c r="D140">
        <v>115982</v>
      </c>
      <c r="E140" s="3">
        <f t="shared" si="0"/>
        <v>71563.913675426389</v>
      </c>
      <c r="F140" s="3">
        <f t="shared" si="1"/>
        <v>5121393740.5438805</v>
      </c>
    </row>
    <row r="141" spans="2:6" x14ac:dyDescent="0.35">
      <c r="D141">
        <v>146626</v>
      </c>
      <c r="E141" s="3">
        <f t="shared" si="0"/>
        <v>102207.91367542639</v>
      </c>
      <c r="F141" s="3">
        <f t="shared" si="1"/>
        <v>10446457617.883413</v>
      </c>
    </row>
    <row r="142" spans="2:6" x14ac:dyDescent="0.35">
      <c r="D142">
        <v>144176</v>
      </c>
      <c r="E142" s="3">
        <f t="shared" si="0"/>
        <v>99757.913675426389</v>
      </c>
      <c r="F142" s="3">
        <f t="shared" si="1"/>
        <v>9951641340.8738232</v>
      </c>
    </row>
    <row r="143" spans="2:6" x14ac:dyDescent="0.35">
      <c r="D143">
        <v>156278</v>
      </c>
      <c r="E143" s="3">
        <f t="shared" si="0"/>
        <v>111859.91367542639</v>
      </c>
      <c r="F143" s="3">
        <f t="shared" si="1"/>
        <v>12512640287.473845</v>
      </c>
    </row>
    <row r="144" spans="2:6" x14ac:dyDescent="0.35">
      <c r="D144">
        <v>147409</v>
      </c>
      <c r="E144" s="3">
        <f t="shared" si="0"/>
        <v>102990.91367542639</v>
      </c>
      <c r="F144" s="3">
        <f t="shared" si="1"/>
        <v>10607128299.699131</v>
      </c>
    </row>
    <row r="145" spans="4:6" x14ac:dyDescent="0.35">
      <c r="D145">
        <v>48419</v>
      </c>
      <c r="E145" s="3">
        <f t="shared" si="0"/>
        <v>4000.9136754263964</v>
      </c>
      <c r="F145" s="3">
        <f t="shared" si="1"/>
        <v>16007310.238213956</v>
      </c>
    </row>
    <row r="146" spans="4:6" x14ac:dyDescent="0.35">
      <c r="D146">
        <v>75015</v>
      </c>
      <c r="E146" s="3">
        <f t="shared" si="0"/>
        <v>30596.913675426396</v>
      </c>
      <c r="F146" s="3">
        <f t="shared" si="1"/>
        <v>936171126.4614948</v>
      </c>
    </row>
    <row r="147" spans="4:6" x14ac:dyDescent="0.35">
      <c r="D147">
        <v>147096</v>
      </c>
      <c r="E147" s="3">
        <f t="shared" si="0"/>
        <v>102677.91367542639</v>
      </c>
      <c r="F147" s="3">
        <f t="shared" si="1"/>
        <v>10542753956.738314</v>
      </c>
    </row>
    <row r="148" spans="4:6" x14ac:dyDescent="0.35">
      <c r="D148">
        <v>132059</v>
      </c>
      <c r="E148" s="3">
        <f t="shared" si="0"/>
        <v>87640.913675426389</v>
      </c>
      <c r="F148" s="3">
        <f t="shared" si="1"/>
        <v>7680929749.8635406</v>
      </c>
    </row>
    <row r="149" spans="4:6" x14ac:dyDescent="0.35">
      <c r="D149">
        <v>135687</v>
      </c>
      <c r="E149" s="3">
        <f t="shared" si="0"/>
        <v>91268.913675426389</v>
      </c>
      <c r="F149" s="3">
        <f t="shared" si="1"/>
        <v>8330014603.4924345</v>
      </c>
    </row>
    <row r="150" spans="4:6" x14ac:dyDescent="0.35">
      <c r="D150">
        <v>112939</v>
      </c>
      <c r="E150" s="3">
        <f t="shared" si="0"/>
        <v>68520.913675426389</v>
      </c>
      <c r="F150" s="3">
        <f t="shared" si="1"/>
        <v>4695115610.9152355</v>
      </c>
    </row>
    <row r="151" spans="4:6" x14ac:dyDescent="0.35">
      <c r="D151">
        <v>174213</v>
      </c>
      <c r="E151" s="3">
        <f t="shared" si="0"/>
        <v>129794.91367542639</v>
      </c>
      <c r="F151" s="3">
        <f t="shared" si="1"/>
        <v>16846719616.011389</v>
      </c>
    </row>
    <row r="152" spans="4:6" x14ac:dyDescent="0.35">
      <c r="D152">
        <v>130878</v>
      </c>
      <c r="E152" s="3">
        <f t="shared" si="0"/>
        <v>86459.913675426389</v>
      </c>
      <c r="F152" s="3">
        <f t="shared" si="1"/>
        <v>7475316672.7621832</v>
      </c>
    </row>
    <row r="153" spans="4:6" x14ac:dyDescent="0.35">
      <c r="D153">
        <v>87623</v>
      </c>
      <c r="E153" s="3">
        <f t="shared" si="0"/>
        <v>43204.913675426396</v>
      </c>
      <c r="F153" s="3">
        <f t="shared" si="1"/>
        <v>1866664565.7010469</v>
      </c>
    </row>
    <row r="154" spans="4:6" x14ac:dyDescent="0.35">
      <c r="D154">
        <v>100450</v>
      </c>
      <c r="E154" s="3">
        <f t="shared" si="0"/>
        <v>56031.913675426396</v>
      </c>
      <c r="F154" s="3">
        <f t="shared" si="1"/>
        <v>3139575350.1304355</v>
      </c>
    </row>
    <row r="155" spans="4:6" x14ac:dyDescent="0.35">
      <c r="D155">
        <v>118426</v>
      </c>
      <c r="E155" s="3">
        <f t="shared" si="0"/>
        <v>74007.913675426389</v>
      </c>
      <c r="F155" s="3">
        <f t="shared" si="1"/>
        <v>5477171286.5893641</v>
      </c>
    </row>
    <row r="156" spans="4:6" x14ac:dyDescent="0.35">
      <c r="D156">
        <v>142845</v>
      </c>
      <c r="E156" s="3">
        <f t="shared" si="0"/>
        <v>98426.913675426389</v>
      </c>
      <c r="F156" s="3">
        <f t="shared" si="1"/>
        <v>9687857335.669838</v>
      </c>
    </row>
    <row r="157" spans="4:6" x14ac:dyDescent="0.35">
      <c r="D157">
        <v>178371</v>
      </c>
      <c r="E157" s="3">
        <f t="shared" si="0"/>
        <v>133952.91367542639</v>
      </c>
      <c r="F157" s="3">
        <f t="shared" si="1"/>
        <v>17943383082.136234</v>
      </c>
    </row>
    <row r="158" spans="4:6" x14ac:dyDescent="0.35">
      <c r="D158">
        <v>68585</v>
      </c>
      <c r="E158" s="3">
        <f t="shared" si="0"/>
        <v>24166.913675426396</v>
      </c>
      <c r="F158" s="3">
        <f t="shared" si="1"/>
        <v>584039716.59551132</v>
      </c>
    </row>
    <row r="159" spans="4:6" x14ac:dyDescent="0.35">
      <c r="D159">
        <v>134225</v>
      </c>
      <c r="E159" s="3">
        <f t="shared" si="0"/>
        <v>89806.913675426389</v>
      </c>
      <c r="F159" s="3">
        <f t="shared" si="1"/>
        <v>8065281743.9054871</v>
      </c>
    </row>
    <row r="160" spans="4:6" x14ac:dyDescent="0.35">
      <c r="D160">
        <v>89044</v>
      </c>
      <c r="E160" s="3">
        <f t="shared" si="0"/>
        <v>44625.913675426396</v>
      </c>
      <c r="F160" s="3">
        <f t="shared" si="1"/>
        <v>1991472171.3666086</v>
      </c>
    </row>
    <row r="161" spans="4:6" x14ac:dyDescent="0.35">
      <c r="D161">
        <v>134556</v>
      </c>
      <c r="E161" s="3">
        <f t="shared" si="0"/>
        <v>90137.913675426389</v>
      </c>
      <c r="F161" s="3">
        <f t="shared" si="1"/>
        <v>8124843481.7586193</v>
      </c>
    </row>
    <row r="162" spans="4:6" x14ac:dyDescent="0.35">
      <c r="D162">
        <v>27693</v>
      </c>
      <c r="E162" s="3">
        <f t="shared" si="0"/>
        <v>-16725.086324573604</v>
      </c>
      <c r="F162" s="3">
        <f t="shared" si="1"/>
        <v>279728512.564439</v>
      </c>
    </row>
    <row r="163" spans="4:6" x14ac:dyDescent="0.35">
      <c r="D163">
        <v>120259</v>
      </c>
      <c r="E163" s="3">
        <f t="shared" si="0"/>
        <v>75840.913675426389</v>
      </c>
      <c r="F163" s="3">
        <f t="shared" si="1"/>
        <v>5751844187.1234779</v>
      </c>
    </row>
    <row r="164" spans="4:6" x14ac:dyDescent="0.35">
      <c r="D164">
        <v>50939</v>
      </c>
      <c r="E164" s="3">
        <f t="shared" si="0"/>
        <v>6520.9136754263964</v>
      </c>
      <c r="F164" s="3">
        <f t="shared" si="1"/>
        <v>42522315.162362993</v>
      </c>
    </row>
    <row r="165" spans="4:6" x14ac:dyDescent="0.35">
      <c r="D165">
        <v>177906</v>
      </c>
      <c r="E165" s="3">
        <f t="shared" si="0"/>
        <v>133487.91367542639</v>
      </c>
      <c r="F165" s="3">
        <f t="shared" si="1"/>
        <v>17819023097.418087</v>
      </c>
    </row>
    <row r="166" spans="4:6" x14ac:dyDescent="0.35">
      <c r="D166">
        <v>43047</v>
      </c>
      <c r="E166" s="3">
        <f t="shared" si="0"/>
        <v>-1371.0863245736036</v>
      </c>
      <c r="F166" s="3">
        <f t="shared" si="1"/>
        <v>1879877.7094327533</v>
      </c>
    </row>
    <row r="167" spans="4:6" x14ac:dyDescent="0.35">
      <c r="D167">
        <v>51105</v>
      </c>
      <c r="E167" s="3">
        <f t="shared" si="0"/>
        <v>6686.9136754263964</v>
      </c>
      <c r="F167" s="3">
        <f t="shared" si="1"/>
        <v>44714814.502604559</v>
      </c>
    </row>
    <row r="168" spans="4:6" x14ac:dyDescent="0.35">
      <c r="D168">
        <v>100766</v>
      </c>
      <c r="E168" s="3">
        <f t="shared" si="0"/>
        <v>56347.913675426396</v>
      </c>
      <c r="F168" s="3">
        <f t="shared" si="1"/>
        <v>3175087375.5733051</v>
      </c>
    </row>
    <row r="169" spans="4:6" x14ac:dyDescent="0.35">
      <c r="D169">
        <v>171779</v>
      </c>
      <c r="E169" s="3">
        <f t="shared" si="0"/>
        <v>127360.91367542639</v>
      </c>
      <c r="F169" s="3">
        <f t="shared" si="1"/>
        <v>16220802332.239412</v>
      </c>
    </row>
    <row r="170" spans="4:6" x14ac:dyDescent="0.35">
      <c r="D170">
        <v>178048</v>
      </c>
      <c r="E170" s="3">
        <f t="shared" si="0"/>
        <v>133629.91367542639</v>
      </c>
      <c r="F170" s="3">
        <f t="shared" si="1"/>
        <v>17856953828.901909</v>
      </c>
    </row>
    <row r="171" spans="4:6" x14ac:dyDescent="0.35">
      <c r="D171">
        <v>69262</v>
      </c>
      <c r="E171" s="3">
        <f t="shared" si="0"/>
        <v>24843.913675426396</v>
      </c>
      <c r="F171" s="3">
        <f t="shared" si="1"/>
        <v>617220046.71203876</v>
      </c>
    </row>
    <row r="172" spans="4:6" x14ac:dyDescent="0.35">
      <c r="D172">
        <v>150117</v>
      </c>
      <c r="E172" s="3">
        <f t="shared" si="0"/>
        <v>105698.91367542639</v>
      </c>
      <c r="F172" s="3">
        <f t="shared" si="1"/>
        <v>11172260352.165239</v>
      </c>
    </row>
    <row r="173" spans="4:6" x14ac:dyDescent="0.35">
      <c r="D173">
        <v>48776</v>
      </c>
      <c r="E173" s="3">
        <f t="shared" si="0"/>
        <v>4357.9136754263964</v>
      </c>
      <c r="F173" s="3">
        <f t="shared" si="1"/>
        <v>18991411.602468401</v>
      </c>
    </row>
    <row r="174" spans="4:6" x14ac:dyDescent="0.35">
      <c r="D174">
        <v>153376</v>
      </c>
      <c r="E174" s="3">
        <f t="shared" ref="E174:E208" si="2">D174-$B$106</f>
        <v>108957.91367542639</v>
      </c>
      <c r="F174" s="3">
        <f t="shared" ref="F174:F208" si="3">E174*E174</f>
        <v>11871826952.501669</v>
      </c>
    </row>
    <row r="175" spans="4:6" x14ac:dyDescent="0.35">
      <c r="D175">
        <v>162848</v>
      </c>
      <c r="E175" s="3">
        <f t="shared" si="2"/>
        <v>118429.91367542639</v>
      </c>
      <c r="F175" s="3">
        <f t="shared" si="3"/>
        <v>14025644453.168947</v>
      </c>
    </row>
    <row r="176" spans="4:6" x14ac:dyDescent="0.35">
      <c r="D176">
        <v>117787</v>
      </c>
      <c r="E176" s="3">
        <f t="shared" si="2"/>
        <v>73368.913675426389</v>
      </c>
      <c r="F176" s="3">
        <f t="shared" si="3"/>
        <v>5382997493.9121695</v>
      </c>
    </row>
    <row r="177" spans="4:6" x14ac:dyDescent="0.35">
      <c r="D177">
        <v>152948</v>
      </c>
      <c r="E177" s="3">
        <f t="shared" si="2"/>
        <v>108529.91367542639</v>
      </c>
      <c r="F177" s="3">
        <f t="shared" si="3"/>
        <v>11778742162.395504</v>
      </c>
    </row>
    <row r="178" spans="4:6" x14ac:dyDescent="0.35">
      <c r="D178">
        <v>80016</v>
      </c>
      <c r="E178" s="3">
        <f t="shared" si="2"/>
        <v>35597.913675426396</v>
      </c>
      <c r="F178" s="3">
        <f t="shared" si="3"/>
        <v>1267211458.0431097</v>
      </c>
    </row>
    <row r="179" spans="4:6" x14ac:dyDescent="0.35">
      <c r="D179">
        <v>165546</v>
      </c>
      <c r="E179" s="3">
        <f t="shared" si="2"/>
        <v>121127.91367542639</v>
      </c>
      <c r="F179" s="3">
        <f t="shared" si="3"/>
        <v>14671971471.361547</v>
      </c>
    </row>
    <row r="180" spans="4:6" x14ac:dyDescent="0.35">
      <c r="D180">
        <v>46959</v>
      </c>
      <c r="E180" s="3">
        <f t="shared" si="2"/>
        <v>2540.9136754263964</v>
      </c>
      <c r="F180" s="3">
        <f t="shared" si="3"/>
        <v>6456242.3059688788</v>
      </c>
    </row>
    <row r="181" spans="4:6" x14ac:dyDescent="0.35">
      <c r="D181">
        <v>161602</v>
      </c>
      <c r="E181" s="3">
        <f t="shared" si="2"/>
        <v>117183.91367542639</v>
      </c>
      <c r="F181" s="3">
        <f t="shared" si="3"/>
        <v>13732069624.289783</v>
      </c>
    </row>
    <row r="182" spans="4:6" x14ac:dyDescent="0.35">
      <c r="D182">
        <v>144101</v>
      </c>
      <c r="E182" s="3">
        <f t="shared" si="2"/>
        <v>99682.913675426389</v>
      </c>
      <c r="F182" s="3">
        <f t="shared" si="3"/>
        <v>9936683278.8225098</v>
      </c>
    </row>
    <row r="183" spans="4:6" x14ac:dyDescent="0.35">
      <c r="D183">
        <v>28748</v>
      </c>
      <c r="E183" s="3">
        <f t="shared" si="2"/>
        <v>-15670.086324573604</v>
      </c>
      <c r="F183" s="3">
        <f t="shared" si="3"/>
        <v>245551605.41958866</v>
      </c>
    </row>
    <row r="184" spans="4:6" x14ac:dyDescent="0.35">
      <c r="D184">
        <v>38545</v>
      </c>
      <c r="E184" s="3">
        <f t="shared" si="2"/>
        <v>-5873.0863245736036</v>
      </c>
      <c r="F184" s="3">
        <f t="shared" si="3"/>
        <v>34493142.975893483</v>
      </c>
    </row>
    <row r="185" spans="4:6" x14ac:dyDescent="0.35">
      <c r="D185">
        <v>152659</v>
      </c>
      <c r="E185" s="3">
        <f t="shared" si="2"/>
        <v>108240.91367542639</v>
      </c>
      <c r="F185" s="3">
        <f t="shared" si="3"/>
        <v>11716095393.291107</v>
      </c>
    </row>
    <row r="186" spans="4:6" x14ac:dyDescent="0.35">
      <c r="D186">
        <v>98530</v>
      </c>
      <c r="E186" s="3">
        <f t="shared" si="2"/>
        <v>54111.913675426396</v>
      </c>
      <c r="F186" s="3">
        <f t="shared" si="3"/>
        <v>2928099201.6167984</v>
      </c>
    </row>
    <row r="187" spans="4:6" x14ac:dyDescent="0.35">
      <c r="D187">
        <v>118557</v>
      </c>
      <c r="E187" s="3">
        <f t="shared" si="2"/>
        <v>74138.913675426389</v>
      </c>
      <c r="F187" s="3">
        <f t="shared" si="3"/>
        <v>5496578520.9723263</v>
      </c>
    </row>
    <row r="188" spans="4:6" x14ac:dyDescent="0.35">
      <c r="D188">
        <v>86087</v>
      </c>
      <c r="E188" s="3">
        <f t="shared" si="2"/>
        <v>41668.913675426396</v>
      </c>
      <c r="F188" s="3">
        <f t="shared" si="3"/>
        <v>1736298366.890137</v>
      </c>
    </row>
    <row r="189" spans="4:6" x14ac:dyDescent="0.35">
      <c r="D189">
        <v>93840</v>
      </c>
      <c r="E189" s="3">
        <f t="shared" si="2"/>
        <v>49421.913675426396</v>
      </c>
      <c r="F189" s="3">
        <f t="shared" si="3"/>
        <v>2442525551.3412986</v>
      </c>
    </row>
    <row r="190" spans="4:6" x14ac:dyDescent="0.35">
      <c r="D190">
        <v>143451</v>
      </c>
      <c r="E190" s="3">
        <f t="shared" si="2"/>
        <v>99032.913675426389</v>
      </c>
      <c r="F190" s="3">
        <f t="shared" si="3"/>
        <v>9807517991.0444546</v>
      </c>
    </row>
    <row r="191" spans="4:6" x14ac:dyDescent="0.35">
      <c r="D191">
        <v>76005</v>
      </c>
      <c r="E191" s="3">
        <f t="shared" si="2"/>
        <v>31586.913675426396</v>
      </c>
      <c r="F191" s="3">
        <f t="shared" si="3"/>
        <v>997733115.5388391</v>
      </c>
    </row>
    <row r="192" spans="4:6" x14ac:dyDescent="0.35">
      <c r="D192">
        <v>64353</v>
      </c>
      <c r="E192" s="3">
        <f t="shared" si="2"/>
        <v>19934.913675426396</v>
      </c>
      <c r="F192" s="3">
        <f t="shared" si="3"/>
        <v>397400783.24670237</v>
      </c>
    </row>
    <row r="193" spans="4:6" x14ac:dyDescent="0.35">
      <c r="D193">
        <v>77733</v>
      </c>
      <c r="E193" s="3">
        <f t="shared" si="2"/>
        <v>33314.913675426396</v>
      </c>
      <c r="F193" s="3">
        <f t="shared" si="3"/>
        <v>1109883473.2011127</v>
      </c>
    </row>
    <row r="194" spans="4:6" x14ac:dyDescent="0.35">
      <c r="D194">
        <v>90318</v>
      </c>
      <c r="E194" s="3">
        <f t="shared" si="2"/>
        <v>45899.913675426396</v>
      </c>
      <c r="F194" s="3">
        <f t="shared" si="3"/>
        <v>2106802075.4115951</v>
      </c>
    </row>
    <row r="195" spans="4:6" x14ac:dyDescent="0.35">
      <c r="D195">
        <v>179736</v>
      </c>
      <c r="E195" s="3">
        <f t="shared" si="2"/>
        <v>135317.91367542639</v>
      </c>
      <c r="F195" s="3">
        <f t="shared" si="3"/>
        <v>18310937761.47015</v>
      </c>
    </row>
    <row r="196" spans="4:6" x14ac:dyDescent="0.35">
      <c r="D196">
        <v>92172</v>
      </c>
      <c r="E196" s="3">
        <f t="shared" si="2"/>
        <v>47753.913675426396</v>
      </c>
      <c r="F196" s="3">
        <f t="shared" si="3"/>
        <v>2280436271.320076</v>
      </c>
    </row>
    <row r="197" spans="4:6" x14ac:dyDescent="0.35">
      <c r="D197">
        <v>118264</v>
      </c>
      <c r="E197" s="3">
        <f t="shared" si="2"/>
        <v>73845.913675426389</v>
      </c>
      <c r="F197" s="3">
        <f t="shared" si="3"/>
        <v>5453218966.558526</v>
      </c>
    </row>
    <row r="198" spans="4:6" x14ac:dyDescent="0.35">
      <c r="D198">
        <v>51736</v>
      </c>
      <c r="E198" s="3">
        <f t="shared" si="2"/>
        <v>7317.9136754263964</v>
      </c>
      <c r="F198" s="3">
        <f t="shared" si="3"/>
        <v>53551860.560992666</v>
      </c>
    </row>
    <row r="199" spans="4:6" x14ac:dyDescent="0.35">
      <c r="D199">
        <v>137859</v>
      </c>
      <c r="E199" s="3">
        <f t="shared" si="2"/>
        <v>93440.913675426389</v>
      </c>
      <c r="F199" s="3">
        <f t="shared" si="3"/>
        <v>8731204348.4984856</v>
      </c>
    </row>
    <row r="200" spans="4:6" x14ac:dyDescent="0.35">
      <c r="D200">
        <v>137181</v>
      </c>
      <c r="E200" s="3">
        <f t="shared" si="2"/>
        <v>92762.913675426389</v>
      </c>
      <c r="F200" s="3">
        <f t="shared" si="3"/>
        <v>8604958153.5546074</v>
      </c>
    </row>
    <row r="201" spans="4:6" x14ac:dyDescent="0.35">
      <c r="D201">
        <v>156926</v>
      </c>
      <c r="E201" s="3">
        <f t="shared" si="2"/>
        <v>112507.91367542639</v>
      </c>
      <c r="F201" s="3">
        <f t="shared" si="3"/>
        <v>12658030639.597197</v>
      </c>
    </row>
    <row r="202" spans="4:6" x14ac:dyDescent="0.35">
      <c r="D202">
        <v>115084</v>
      </c>
      <c r="E202" s="3">
        <f t="shared" si="2"/>
        <v>70665.913675426389</v>
      </c>
      <c r="F202" s="3">
        <f t="shared" si="3"/>
        <v>4993671355.5828142</v>
      </c>
    </row>
    <row r="203" spans="4:6" x14ac:dyDescent="0.35">
      <c r="D203">
        <v>32392</v>
      </c>
      <c r="E203" s="3">
        <f t="shared" si="2"/>
        <v>-12026.086324573604</v>
      </c>
      <c r="F203" s="3">
        <f t="shared" si="3"/>
        <v>144626752.28609625</v>
      </c>
    </row>
    <row r="204" spans="4:6" x14ac:dyDescent="0.35">
      <c r="D204">
        <v>80680</v>
      </c>
      <c r="E204" s="3">
        <f t="shared" si="2"/>
        <v>36261.913675426396</v>
      </c>
      <c r="F204" s="3">
        <f t="shared" si="3"/>
        <v>1314926383.4040759</v>
      </c>
    </row>
    <row r="205" spans="4:6" x14ac:dyDescent="0.35">
      <c r="D205">
        <v>75859</v>
      </c>
      <c r="E205" s="3">
        <f t="shared" si="2"/>
        <v>31440.913675426396</v>
      </c>
      <c r="F205" s="3">
        <f t="shared" si="3"/>
        <v>988531052.74561465</v>
      </c>
    </row>
    <row r="206" spans="4:6" x14ac:dyDescent="0.35">
      <c r="D206">
        <v>150657</v>
      </c>
      <c r="E206" s="3">
        <f t="shared" si="2"/>
        <v>106238.91367542639</v>
      </c>
      <c r="F206" s="3">
        <f t="shared" si="3"/>
        <v>11286706778.9347</v>
      </c>
    </row>
    <row r="207" spans="4:6" x14ac:dyDescent="0.35">
      <c r="D207">
        <v>95467</v>
      </c>
      <c r="E207" s="3">
        <f t="shared" si="2"/>
        <v>51048.913675426396</v>
      </c>
      <c r="F207" s="3">
        <f t="shared" si="3"/>
        <v>2605991587.4411364</v>
      </c>
    </row>
    <row r="208" spans="4:6" x14ac:dyDescent="0.35">
      <c r="D208">
        <v>123506</v>
      </c>
      <c r="E208" s="3">
        <f t="shared" si="2"/>
        <v>79087.913675426389</v>
      </c>
      <c r="F208" s="3">
        <f t="shared" si="3"/>
        <v>6254898089.5316963</v>
      </c>
    </row>
    <row r="209" spans="2:7" x14ac:dyDescent="0.35">
      <c r="F209" s="3">
        <f>SUM(F109:F208)</f>
        <v>616569113360.17981</v>
      </c>
      <c r="G209" t="s">
        <v>21</v>
      </c>
    </row>
    <row r="211" spans="2:7" x14ac:dyDescent="0.35">
      <c r="F211" s="3">
        <f>SQRT(F209/99)</f>
        <v>78917.493890911268</v>
      </c>
      <c r="G211" t="s">
        <v>22</v>
      </c>
    </row>
    <row r="213" spans="2:7" x14ac:dyDescent="0.35">
      <c r="F213" s="6">
        <f>F209/99</f>
        <v>6227970842.0220184</v>
      </c>
      <c r="G213" s="6" t="s">
        <v>23</v>
      </c>
    </row>
    <row r="215" spans="2:7" x14ac:dyDescent="0.35">
      <c r="C215" s="6" t="s">
        <v>24</v>
      </c>
      <c r="D215" s="6"/>
      <c r="E215" s="6"/>
    </row>
    <row r="216" spans="2:7" x14ac:dyDescent="0.35">
      <c r="C216" s="6" t="s">
        <v>25</v>
      </c>
      <c r="D216" s="6">
        <v>12.5</v>
      </c>
      <c r="E216" s="8">
        <v>0.25</v>
      </c>
    </row>
    <row r="217" spans="2:7" x14ac:dyDescent="0.35">
      <c r="C217" s="6" t="s">
        <v>26</v>
      </c>
      <c r="D217" s="6">
        <v>24</v>
      </c>
      <c r="E217" s="8">
        <v>0.5</v>
      </c>
    </row>
    <row r="218" spans="2:7" x14ac:dyDescent="0.35">
      <c r="C218" s="6" t="s">
        <v>27</v>
      </c>
      <c r="D218" s="6">
        <v>35</v>
      </c>
      <c r="E218" s="8">
        <v>0.75</v>
      </c>
    </row>
    <row r="219" spans="2:7" x14ac:dyDescent="0.35">
      <c r="C219" s="6"/>
      <c r="D219" s="6"/>
      <c r="E219" s="6"/>
    </row>
    <row r="220" spans="2:7" x14ac:dyDescent="0.35">
      <c r="C220" s="6">
        <f>D218-D216</f>
        <v>22.5</v>
      </c>
      <c r="D220" s="6" t="s">
        <v>32</v>
      </c>
      <c r="E220" s="6"/>
    </row>
    <row r="224" spans="2:7" x14ac:dyDescent="0.35">
      <c r="B224" s="6">
        <f>CORREL(B2:B101,D2:D101)</f>
        <v>-0.16429646341884679</v>
      </c>
      <c r="C224" s="6" t="s">
        <v>61</v>
      </c>
      <c r="D224" s="6"/>
      <c r="E224" s="6"/>
    </row>
    <row r="226" spans="3:3" x14ac:dyDescent="0.35">
      <c r="C226" t="s">
        <v>82</v>
      </c>
    </row>
    <row r="227" spans="3:3" x14ac:dyDescent="0.35">
      <c r="C227">
        <f>D2-$B$135/$B$134</f>
        <v>-0.70115360234506574</v>
      </c>
    </row>
    <row r="228" spans="3:3" x14ac:dyDescent="0.35">
      <c r="C228">
        <f t="shared" ref="C228:C291" si="4">D3-$B$135/$B$134</f>
        <v>2.2149300431483843</v>
      </c>
    </row>
    <row r="229" spans="3:3" x14ac:dyDescent="0.35">
      <c r="C229">
        <f t="shared" si="4"/>
        <v>-0.10472127719435598</v>
      </c>
    </row>
    <row r="230" spans="3:3" x14ac:dyDescent="0.35">
      <c r="C230">
        <f t="shared" si="4"/>
        <v>1.8910740448470538</v>
      </c>
    </row>
    <row r="231" spans="3:3" x14ac:dyDescent="0.35">
      <c r="C231">
        <f t="shared" si="4"/>
        <v>0.84744232812765397</v>
      </c>
    </row>
    <row r="232" spans="3:3" x14ac:dyDescent="0.35">
      <c r="C232">
        <f t="shared" si="4"/>
        <v>1.5021330383051943</v>
      </c>
    </row>
    <row r="233" spans="3:3" x14ac:dyDescent="0.35">
      <c r="C233">
        <f t="shared" si="4"/>
        <v>0.33343619655936418</v>
      </c>
    </row>
    <row r="234" spans="3:3" x14ac:dyDescent="0.35">
      <c r="C234">
        <f t="shared" si="4"/>
        <v>0.63050336264403439</v>
      </c>
    </row>
    <row r="235" spans="3:3" x14ac:dyDescent="0.35">
      <c r="C235">
        <f t="shared" si="4"/>
        <v>0.292958599414054</v>
      </c>
    </row>
    <row r="236" spans="3:3" x14ac:dyDescent="0.35">
      <c r="C236">
        <f t="shared" si="4"/>
        <v>-0.89614022466922583</v>
      </c>
    </row>
    <row r="237" spans="3:3" x14ac:dyDescent="0.35">
      <c r="C237">
        <f t="shared" si="4"/>
        <v>1.2126962851846241</v>
      </c>
    </row>
    <row r="238" spans="3:3" x14ac:dyDescent="0.35">
      <c r="C238">
        <f t="shared" si="4"/>
        <v>-0.55402272609797576</v>
      </c>
    </row>
    <row r="239" spans="3:3" x14ac:dyDescent="0.35">
      <c r="C239">
        <f t="shared" si="4"/>
        <v>-1.5798483101355858</v>
      </c>
    </row>
    <row r="240" spans="3:3" x14ac:dyDescent="0.35">
      <c r="C240">
        <f t="shared" si="4"/>
        <v>0.9047770077672741</v>
      </c>
    </row>
    <row r="241" spans="3:3" x14ac:dyDescent="0.35">
      <c r="C241">
        <f t="shared" si="4"/>
        <v>-0.96866945823320583</v>
      </c>
    </row>
    <row r="242" spans="3:3" x14ac:dyDescent="0.35">
      <c r="C242">
        <f t="shared" si="4"/>
        <v>2.0847221615502542</v>
      </c>
    </row>
    <row r="243" spans="3:3" x14ac:dyDescent="0.35">
      <c r="C243">
        <f t="shared" si="4"/>
        <v>2.1386021321489439</v>
      </c>
    </row>
    <row r="244" spans="3:3" x14ac:dyDescent="0.35">
      <c r="C244">
        <f t="shared" si="4"/>
        <v>1.9823453850203938</v>
      </c>
    </row>
    <row r="245" spans="3:3" x14ac:dyDescent="0.35">
      <c r="C245">
        <f t="shared" si="4"/>
        <v>-0.1964773748396258</v>
      </c>
    </row>
    <row r="246" spans="3:3" x14ac:dyDescent="0.35">
      <c r="C246">
        <f t="shared" si="4"/>
        <v>-1.6152857097459359</v>
      </c>
    </row>
    <row r="247" spans="3:3" x14ac:dyDescent="0.35">
      <c r="C247">
        <f t="shared" si="4"/>
        <v>2.0361620744895044</v>
      </c>
    </row>
    <row r="248" spans="3:3" x14ac:dyDescent="0.35">
      <c r="C248">
        <f t="shared" si="4"/>
        <v>3.5624417407854381E-2</v>
      </c>
    </row>
    <row r="249" spans="3:3" x14ac:dyDescent="0.35">
      <c r="C249">
        <f t="shared" si="4"/>
        <v>2.189507100313274</v>
      </c>
    </row>
    <row r="250" spans="3:3" x14ac:dyDescent="0.35">
      <c r="C250">
        <f t="shared" si="4"/>
        <v>2.1773677324956138</v>
      </c>
    </row>
    <row r="251" spans="3:3" x14ac:dyDescent="0.35">
      <c r="C251">
        <f t="shared" si="4"/>
        <v>1.734925646008044</v>
      </c>
    </row>
    <row r="252" spans="3:3" x14ac:dyDescent="0.35">
      <c r="C252">
        <f t="shared" si="4"/>
        <v>-0.49931660758305574</v>
      </c>
    </row>
    <row r="253" spans="3:3" x14ac:dyDescent="0.35">
      <c r="C253">
        <f t="shared" si="4"/>
        <v>-0.13672126145369567</v>
      </c>
    </row>
    <row r="254" spans="3:3" x14ac:dyDescent="0.35">
      <c r="C254">
        <f t="shared" si="4"/>
        <v>1.7274345102060238</v>
      </c>
    </row>
    <row r="255" spans="3:3" x14ac:dyDescent="0.35">
      <c r="C255">
        <f t="shared" si="4"/>
        <v>-0.40942415523628561</v>
      </c>
    </row>
    <row r="256" spans="3:3" x14ac:dyDescent="0.35">
      <c r="C256">
        <f t="shared" si="4"/>
        <v>-0.99914118911702587</v>
      </c>
    </row>
    <row r="257" spans="3:3" x14ac:dyDescent="0.35">
      <c r="C257">
        <f t="shared" si="4"/>
        <v>0.55009287397200435</v>
      </c>
    </row>
    <row r="258" spans="3:3" x14ac:dyDescent="0.35">
      <c r="C258">
        <f t="shared" si="4"/>
        <v>2.0675069207817245</v>
      </c>
    </row>
    <row r="259" spans="3:3" x14ac:dyDescent="0.35">
      <c r="C259">
        <f t="shared" si="4"/>
        <v>1.107007010838494</v>
      </c>
    </row>
    <row r="260" spans="3:3" x14ac:dyDescent="0.35">
      <c r="C260">
        <f t="shared" si="4"/>
        <v>0.60313250449606404</v>
      </c>
    </row>
    <row r="261" spans="3:3" x14ac:dyDescent="0.35">
      <c r="C261">
        <f t="shared" si="4"/>
        <v>-1.2884062007783259</v>
      </c>
    </row>
    <row r="262" spans="3:3" x14ac:dyDescent="0.35">
      <c r="C262">
        <f t="shared" si="4"/>
        <v>0.78291673093527425</v>
      </c>
    </row>
    <row r="263" spans="3:3" x14ac:dyDescent="0.35">
      <c r="C263">
        <f t="shared" si="4"/>
        <v>2.2831032245556537</v>
      </c>
    </row>
    <row r="264" spans="3:3" x14ac:dyDescent="0.35">
      <c r="C264">
        <f t="shared" si="4"/>
        <v>-1.1167761149153059</v>
      </c>
    </row>
    <row r="265" spans="3:3" x14ac:dyDescent="0.35">
      <c r="C265">
        <f t="shared" si="4"/>
        <v>0.39620643359354402</v>
      </c>
    </row>
    <row r="266" spans="3:3" x14ac:dyDescent="0.35">
      <c r="C266">
        <f t="shared" si="4"/>
        <v>1.8323801118504246</v>
      </c>
    </row>
    <row r="267" spans="3:3" x14ac:dyDescent="0.35">
      <c r="C267">
        <f t="shared" si="4"/>
        <v>1.2859622951554144</v>
      </c>
    </row>
    <row r="268" spans="3:3" x14ac:dyDescent="0.35">
      <c r="C268">
        <f t="shared" si="4"/>
        <v>1.1109507881196743</v>
      </c>
    </row>
    <row r="269" spans="3:3" x14ac:dyDescent="0.35">
      <c r="C269">
        <f t="shared" si="4"/>
        <v>1.1328241600870341</v>
      </c>
    </row>
    <row r="270" spans="3:3" x14ac:dyDescent="0.35">
      <c r="C270">
        <f t="shared" si="4"/>
        <v>-0.23914757098237605</v>
      </c>
    </row>
    <row r="271" spans="3:3" x14ac:dyDescent="0.35">
      <c r="C271">
        <f t="shared" si="4"/>
        <v>-0.50274479880342593</v>
      </c>
    </row>
    <row r="272" spans="3:3" x14ac:dyDescent="0.35">
      <c r="C272">
        <f t="shared" si="4"/>
        <v>1.5603324460526542</v>
      </c>
    </row>
    <row r="273" spans="3:3" x14ac:dyDescent="0.35">
      <c r="C273">
        <f t="shared" si="4"/>
        <v>1.5633414028553245</v>
      </c>
    </row>
    <row r="274" spans="3:3" x14ac:dyDescent="0.35">
      <c r="C274">
        <f t="shared" si="4"/>
        <v>1.7911770984590145</v>
      </c>
    </row>
    <row r="275" spans="3:3" x14ac:dyDescent="0.35">
      <c r="C275">
        <f t="shared" si="4"/>
        <v>1.975850034364484</v>
      </c>
    </row>
    <row r="276" spans="3:3" x14ac:dyDescent="0.35">
      <c r="C276">
        <f t="shared" si="4"/>
        <v>0.36825741958235403</v>
      </c>
    </row>
    <row r="277" spans="3:3" x14ac:dyDescent="0.35">
      <c r="C277">
        <f t="shared" si="4"/>
        <v>0.32895300288739415</v>
      </c>
    </row>
    <row r="278" spans="3:3" x14ac:dyDescent="0.35">
      <c r="C278">
        <f t="shared" si="4"/>
        <v>1.5160685400057039</v>
      </c>
    </row>
    <row r="279" spans="3:3" x14ac:dyDescent="0.35">
      <c r="C279">
        <f t="shared" si="4"/>
        <v>0.92274354724966434</v>
      </c>
    </row>
    <row r="280" spans="3:3" x14ac:dyDescent="0.35">
      <c r="C280">
        <f t="shared" si="4"/>
        <v>1.130755333169414</v>
      </c>
    </row>
    <row r="281" spans="3:3" x14ac:dyDescent="0.35">
      <c r="C281">
        <f t="shared" si="4"/>
        <v>1.5060585018830039</v>
      </c>
    </row>
    <row r="282" spans="3:3" x14ac:dyDescent="0.35">
      <c r="C282">
        <f t="shared" si="4"/>
        <v>1.8829091914088645</v>
      </c>
    </row>
    <row r="283" spans="3:3" x14ac:dyDescent="0.35">
      <c r="C283">
        <f t="shared" si="4"/>
        <v>-0.32513154845525571</v>
      </c>
    </row>
    <row r="284" spans="3:3" x14ac:dyDescent="0.35">
      <c r="C284">
        <f t="shared" si="4"/>
        <v>-0.174780365301626</v>
      </c>
    </row>
    <row r="285" spans="3:3" x14ac:dyDescent="0.35">
      <c r="C285">
        <f t="shared" si="4"/>
        <v>-1.3011844164979258</v>
      </c>
    </row>
    <row r="286" spans="3:3" x14ac:dyDescent="0.35">
      <c r="C286">
        <f t="shared" si="4"/>
        <v>0.6360083881232943</v>
      </c>
    </row>
    <row r="287" spans="3:3" x14ac:dyDescent="0.35">
      <c r="C287">
        <f t="shared" si="4"/>
        <v>-1.5333430806744359</v>
      </c>
    </row>
    <row r="288" spans="3:3" x14ac:dyDescent="0.35">
      <c r="C288">
        <f t="shared" si="4"/>
        <v>0.18527989666844435</v>
      </c>
    </row>
    <row r="289" spans="3:3" x14ac:dyDescent="0.35">
      <c r="C289">
        <f t="shared" si="4"/>
        <v>0.493466362968904</v>
      </c>
    </row>
    <row r="290" spans="3:3" x14ac:dyDescent="0.35">
      <c r="C290">
        <f t="shared" si="4"/>
        <v>-0.53094716734826575</v>
      </c>
    </row>
    <row r="291" spans="3:3" x14ac:dyDescent="0.35">
      <c r="C291">
        <f t="shared" si="4"/>
        <v>0.68622086641464408</v>
      </c>
    </row>
    <row r="292" spans="3:3" x14ac:dyDescent="0.35">
      <c r="C292">
        <f t="shared" ref="C292:C355" si="5">D67-$B$135/$B$134</f>
        <v>-1.5551111761052059</v>
      </c>
    </row>
    <row r="293" spans="3:3" x14ac:dyDescent="0.35">
      <c r="C293">
        <f t="shared" si="5"/>
        <v>-1.5277194208645459</v>
      </c>
    </row>
    <row r="294" spans="3:3" x14ac:dyDescent="0.35">
      <c r="C294">
        <f t="shared" si="5"/>
        <v>1.6132900667772345</v>
      </c>
    </row>
    <row r="295" spans="3:3" x14ac:dyDescent="0.35">
      <c r="C295">
        <f t="shared" si="5"/>
        <v>-0.23634961021634604</v>
      </c>
    </row>
    <row r="296" spans="3:3" x14ac:dyDescent="0.35">
      <c r="C296">
        <f t="shared" si="5"/>
        <v>-1.1688701252538658</v>
      </c>
    </row>
    <row r="297" spans="3:3" x14ac:dyDescent="0.35">
      <c r="C297">
        <f t="shared" si="5"/>
        <v>0.4118608643578141</v>
      </c>
    </row>
    <row r="298" spans="3:3" x14ac:dyDescent="0.35">
      <c r="C298">
        <f t="shared" si="5"/>
        <v>1.402862036533044</v>
      </c>
    </row>
    <row r="299" spans="3:3" x14ac:dyDescent="0.35">
      <c r="C299">
        <f t="shared" si="5"/>
        <v>-0.81382806587402579</v>
      </c>
    </row>
    <row r="300" spans="3:3" x14ac:dyDescent="0.35">
      <c r="C300">
        <f t="shared" si="5"/>
        <v>0.81444972741460431</v>
      </c>
    </row>
    <row r="301" spans="3:3" x14ac:dyDescent="0.35">
      <c r="C301">
        <f t="shared" si="5"/>
        <v>-1.3357223158863258</v>
      </c>
    </row>
    <row r="302" spans="3:3" x14ac:dyDescent="0.35">
      <c r="C302">
        <f t="shared" si="5"/>
        <v>-1.4703852911869659</v>
      </c>
    </row>
    <row r="303" spans="3:3" x14ac:dyDescent="0.35">
      <c r="C303">
        <f t="shared" si="5"/>
        <v>0.44830635041119438</v>
      </c>
    </row>
    <row r="304" spans="3:3" x14ac:dyDescent="0.35">
      <c r="C304">
        <f t="shared" si="5"/>
        <v>0.48542831057902402</v>
      </c>
    </row>
    <row r="305" spans="3:3" x14ac:dyDescent="0.35">
      <c r="C305">
        <f t="shared" si="5"/>
        <v>0.87260743013142417</v>
      </c>
    </row>
    <row r="306" spans="3:3" x14ac:dyDescent="0.35">
      <c r="C306">
        <f t="shared" si="5"/>
        <v>1.2272531590292441</v>
      </c>
    </row>
    <row r="307" spans="3:3" x14ac:dyDescent="0.35">
      <c r="C307">
        <f t="shared" si="5"/>
        <v>2.2262961419887342</v>
      </c>
    </row>
    <row r="308" spans="3:3" x14ac:dyDescent="0.35">
      <c r="C308">
        <f t="shared" si="5"/>
        <v>0.38808921734338409</v>
      </c>
    </row>
    <row r="309" spans="3:3" x14ac:dyDescent="0.35">
      <c r="C309">
        <f t="shared" si="5"/>
        <v>-0.38528628409641597</v>
      </c>
    </row>
    <row r="310" spans="3:3" x14ac:dyDescent="0.35">
      <c r="C310">
        <f t="shared" si="5"/>
        <v>1.503632603213414</v>
      </c>
    </row>
    <row r="311" spans="3:3" x14ac:dyDescent="0.35">
      <c r="C311">
        <f t="shared" si="5"/>
        <v>-0.59378317081310561</v>
      </c>
    </row>
    <row r="312" spans="3:3" x14ac:dyDescent="0.35">
      <c r="C312">
        <f t="shared" si="5"/>
        <v>7.8773506961144157E-2</v>
      </c>
    </row>
    <row r="313" spans="3:3" x14ac:dyDescent="0.35">
      <c r="C313">
        <f t="shared" si="5"/>
        <v>-1.3632866504923358</v>
      </c>
    </row>
    <row r="314" spans="3:3" x14ac:dyDescent="0.35">
      <c r="C314">
        <f t="shared" si="5"/>
        <v>-1.5757092021995658</v>
      </c>
    </row>
    <row r="315" spans="3:3" x14ac:dyDescent="0.35">
      <c r="C315">
        <f t="shared" si="5"/>
        <v>2.1734814828503044</v>
      </c>
    </row>
    <row r="316" spans="3:3" x14ac:dyDescent="0.35">
      <c r="C316">
        <f t="shared" si="5"/>
        <v>1.6668083061874244</v>
      </c>
    </row>
    <row r="317" spans="3:3" x14ac:dyDescent="0.35">
      <c r="C317">
        <f t="shared" si="5"/>
        <v>1.1067846485133943</v>
      </c>
    </row>
    <row r="318" spans="3:3" x14ac:dyDescent="0.35">
      <c r="C318">
        <f t="shared" si="5"/>
        <v>-4.1300398204325628E-2</v>
      </c>
    </row>
    <row r="319" spans="3:3" x14ac:dyDescent="0.35">
      <c r="C319">
        <f t="shared" si="5"/>
        <v>-0.98393489557801583</v>
      </c>
    </row>
    <row r="320" spans="3:3" x14ac:dyDescent="0.35">
      <c r="C320">
        <f t="shared" si="5"/>
        <v>-1.0513640051770559</v>
      </c>
    </row>
    <row r="321" spans="3:3" x14ac:dyDescent="0.35">
      <c r="C321">
        <f t="shared" si="5"/>
        <v>-0.67614058320301584</v>
      </c>
    </row>
    <row r="322" spans="3:3" x14ac:dyDescent="0.35">
      <c r="C322">
        <f t="shared" si="5"/>
        <v>0.51979448296308428</v>
      </c>
    </row>
    <row r="323" spans="3:3" x14ac:dyDescent="0.35">
      <c r="C323">
        <f t="shared" si="5"/>
        <v>1.1812715149388442</v>
      </c>
    </row>
    <row r="324" spans="3:3" x14ac:dyDescent="0.35">
      <c r="C324">
        <f t="shared" si="5"/>
        <v>0.96367733100952435</v>
      </c>
    </row>
    <row r="325" spans="3:3" x14ac:dyDescent="0.35">
      <c r="C325">
        <f t="shared" si="5"/>
        <v>-0.5573765880776258</v>
      </c>
    </row>
    <row r="326" spans="3:3" x14ac:dyDescent="0.35">
      <c r="C326">
        <f t="shared" si="5"/>
        <v>2.1423489467913743</v>
      </c>
    </row>
    <row r="327" spans="3:3" x14ac:dyDescent="0.35">
      <c r="C327">
        <f t="shared" si="5"/>
        <v>-2.6771121758613958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1E1A7-5163-4ED7-9B44-07627C764F73}">
  <dimension ref="A1:N107"/>
  <sheetViews>
    <sheetView workbookViewId="0">
      <selection activeCell="N4" sqref="N4"/>
    </sheetView>
  </sheetViews>
  <sheetFormatPr defaultRowHeight="14.5" x14ac:dyDescent="0.35"/>
  <sheetData>
    <row r="1" spans="1:14" x14ac:dyDescent="0.35">
      <c r="A1" s="2" t="s">
        <v>36</v>
      </c>
      <c r="B1" s="2"/>
      <c r="C1" s="2" t="s">
        <v>37</v>
      </c>
      <c r="D1" s="2"/>
      <c r="E1" s="2" t="s">
        <v>38</v>
      </c>
      <c r="F1" s="2"/>
      <c r="G1" s="2" t="s">
        <v>39</v>
      </c>
      <c r="H1" s="2"/>
      <c r="I1" s="2" t="s">
        <v>40</v>
      </c>
      <c r="J1" s="2"/>
    </row>
    <row r="2" spans="1:14" x14ac:dyDescent="0.3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4" x14ac:dyDescent="0.35">
      <c r="A3" s="5" t="s">
        <v>41</v>
      </c>
      <c r="B3" s="5">
        <v>40.880000000000003</v>
      </c>
      <c r="C3" s="5" t="s">
        <v>41</v>
      </c>
      <c r="D3" s="5">
        <v>109321.51</v>
      </c>
      <c r="E3" s="5" t="s">
        <v>41</v>
      </c>
      <c r="F3" s="5">
        <v>24.47</v>
      </c>
      <c r="G3" s="5" t="s">
        <v>41</v>
      </c>
      <c r="H3" s="5">
        <v>3.135648299226133</v>
      </c>
      <c r="I3" s="5" t="s">
        <v>41</v>
      </c>
      <c r="J3" s="5">
        <v>9.9600000000000009</v>
      </c>
      <c r="N3" t="s">
        <v>58</v>
      </c>
    </row>
    <row r="4" spans="1:14" x14ac:dyDescent="0.35">
      <c r="A4" s="5" t="s">
        <v>42</v>
      </c>
      <c r="B4" s="5">
        <v>1.3990819500766576</v>
      </c>
      <c r="C4" s="5" t="s">
        <v>42</v>
      </c>
      <c r="D4" s="5">
        <v>4441.8086324573605</v>
      </c>
      <c r="E4" s="5" t="s">
        <v>42</v>
      </c>
      <c r="F4" s="5">
        <v>1.3994555218283138</v>
      </c>
      <c r="G4" s="5" t="s">
        <v>42</v>
      </c>
      <c r="H4" s="5">
        <v>0.11712801306942608</v>
      </c>
      <c r="I4" s="5" t="s">
        <v>42</v>
      </c>
      <c r="J4" s="5">
        <v>0.58204099269013443</v>
      </c>
    </row>
    <row r="5" spans="1:14" x14ac:dyDescent="0.35">
      <c r="A5" s="5" t="s">
        <v>43</v>
      </c>
      <c r="B5" s="5">
        <v>41</v>
      </c>
      <c r="C5" s="5" t="s">
        <v>43</v>
      </c>
      <c r="D5" s="5">
        <v>118025.5</v>
      </c>
      <c r="E5" s="5" t="s">
        <v>43</v>
      </c>
      <c r="F5" s="5">
        <v>24</v>
      </c>
      <c r="G5" s="5" t="s">
        <v>43</v>
      </c>
      <c r="H5" s="5">
        <v>3.18374259882739</v>
      </c>
      <c r="I5" s="5" t="s">
        <v>43</v>
      </c>
      <c r="J5" s="5">
        <v>10</v>
      </c>
    </row>
    <row r="6" spans="1:14" x14ac:dyDescent="0.35">
      <c r="A6" s="5" t="s">
        <v>44</v>
      </c>
      <c r="B6" s="5">
        <v>61</v>
      </c>
      <c r="C6" s="5" t="s">
        <v>44</v>
      </c>
      <c r="D6" s="5" t="e">
        <v>#N/A</v>
      </c>
      <c r="E6" s="5" t="s">
        <v>44</v>
      </c>
      <c r="F6" s="5">
        <v>48</v>
      </c>
      <c r="G6" s="5" t="s">
        <v>44</v>
      </c>
      <c r="H6" s="5" t="e">
        <v>#N/A</v>
      </c>
      <c r="I6" s="5" t="s">
        <v>44</v>
      </c>
      <c r="J6" s="5">
        <v>5</v>
      </c>
    </row>
    <row r="7" spans="1:14" x14ac:dyDescent="0.35">
      <c r="A7" s="5" t="s">
        <v>45</v>
      </c>
      <c r="B7" s="5">
        <v>13.990819500766575</v>
      </c>
      <c r="C7" s="5" t="s">
        <v>45</v>
      </c>
      <c r="D7" s="5">
        <v>44418.086324573604</v>
      </c>
      <c r="E7" s="5" t="s">
        <v>45</v>
      </c>
      <c r="F7" s="5">
        <v>13.994555218283137</v>
      </c>
      <c r="G7" s="5" t="s">
        <v>45</v>
      </c>
      <c r="H7" s="5">
        <v>1.1712801306942608</v>
      </c>
      <c r="I7" s="5" t="s">
        <v>45</v>
      </c>
      <c r="J7" s="5">
        <v>5.8204099269013447</v>
      </c>
    </row>
    <row r="8" spans="1:14" x14ac:dyDescent="0.35">
      <c r="A8" s="5" t="s">
        <v>46</v>
      </c>
      <c r="B8" s="5">
        <v>195.74303030303028</v>
      </c>
      <c r="C8" s="5" t="s">
        <v>46</v>
      </c>
      <c r="D8" s="5">
        <v>1972966392.7372727</v>
      </c>
      <c r="E8" s="5" t="s">
        <v>46</v>
      </c>
      <c r="F8" s="5">
        <v>195.84757575757578</v>
      </c>
      <c r="G8" s="5" t="s">
        <v>46</v>
      </c>
      <c r="H8" s="5">
        <v>1.3718971445591648</v>
      </c>
      <c r="I8" s="5" t="s">
        <v>46</v>
      </c>
      <c r="J8" s="5">
        <v>33.87717171717172</v>
      </c>
    </row>
    <row r="9" spans="1:14" x14ac:dyDescent="0.35">
      <c r="A9" s="5" t="s">
        <v>47</v>
      </c>
      <c r="B9" s="5">
        <v>-1.1665488564043374</v>
      </c>
      <c r="C9" s="5" t="s">
        <v>47</v>
      </c>
      <c r="D9" s="5">
        <v>-1.2236234886974053</v>
      </c>
      <c r="E9" s="5" t="s">
        <v>47</v>
      </c>
      <c r="F9" s="5">
        <v>-1.055159061973828</v>
      </c>
      <c r="G9" s="5" t="s">
        <v>47</v>
      </c>
      <c r="H9" s="5">
        <v>-1.1378841235790116</v>
      </c>
      <c r="I9" s="5" t="s">
        <v>47</v>
      </c>
      <c r="J9" s="5">
        <v>-1.366491096177314</v>
      </c>
    </row>
    <row r="10" spans="1:14" x14ac:dyDescent="0.35">
      <c r="A10" s="5" t="s">
        <v>48</v>
      </c>
      <c r="B10" s="5">
        <v>7.9166331444670376E-2</v>
      </c>
      <c r="C10" s="5" t="s">
        <v>48</v>
      </c>
      <c r="D10" s="5">
        <v>-0.25307872181127566</v>
      </c>
      <c r="E10" s="5" t="s">
        <v>48</v>
      </c>
      <c r="F10" s="5">
        <v>4.8663601904092149E-2</v>
      </c>
      <c r="G10" s="5" t="s">
        <v>48</v>
      </c>
      <c r="H10" s="5">
        <v>-0.16614507010916194</v>
      </c>
      <c r="I10" s="5" t="s">
        <v>48</v>
      </c>
      <c r="J10" s="5">
        <v>3.7765578908519663E-2</v>
      </c>
    </row>
    <row r="11" spans="1:14" x14ac:dyDescent="0.35">
      <c r="A11" s="5" t="s">
        <v>49</v>
      </c>
      <c r="B11" s="5">
        <v>46</v>
      </c>
      <c r="C11" s="5" t="s">
        <v>49</v>
      </c>
      <c r="D11" s="5">
        <v>152043</v>
      </c>
      <c r="E11" s="5" t="s">
        <v>49</v>
      </c>
      <c r="F11" s="5">
        <v>48</v>
      </c>
      <c r="G11" s="5" t="s">
        <v>49</v>
      </c>
      <c r="H11" s="5">
        <v>3.8983889343015896</v>
      </c>
      <c r="I11" s="5" t="s">
        <v>49</v>
      </c>
      <c r="J11" s="5">
        <v>18</v>
      </c>
    </row>
    <row r="12" spans="1:14" x14ac:dyDescent="0.35">
      <c r="A12" s="5" t="s">
        <v>50</v>
      </c>
      <c r="B12" s="5">
        <v>18</v>
      </c>
      <c r="C12" s="5" t="s">
        <v>50</v>
      </c>
      <c r="D12" s="5">
        <v>27693</v>
      </c>
      <c r="E12" s="5" t="s">
        <v>50</v>
      </c>
      <c r="F12" s="5">
        <v>1</v>
      </c>
      <c r="G12" s="5" t="s">
        <v>50</v>
      </c>
      <c r="H12" s="5">
        <v>1.0618264661154599</v>
      </c>
      <c r="I12" s="5" t="s">
        <v>50</v>
      </c>
      <c r="J12" s="5">
        <v>1</v>
      </c>
    </row>
    <row r="13" spans="1:14" x14ac:dyDescent="0.35">
      <c r="A13" s="5" t="s">
        <v>51</v>
      </c>
      <c r="B13" s="5">
        <v>64</v>
      </c>
      <c r="C13" s="5" t="s">
        <v>51</v>
      </c>
      <c r="D13" s="5">
        <v>179736</v>
      </c>
      <c r="E13" s="5" t="s">
        <v>51</v>
      </c>
      <c r="F13" s="5">
        <v>49</v>
      </c>
      <c r="G13" s="5" t="s">
        <v>51</v>
      </c>
      <c r="H13" s="5">
        <v>4.9602154004170496</v>
      </c>
      <c r="I13" s="5" t="s">
        <v>51</v>
      </c>
      <c r="J13" s="5">
        <v>19</v>
      </c>
    </row>
    <row r="14" spans="1:14" x14ac:dyDescent="0.35">
      <c r="A14" s="5" t="s">
        <v>52</v>
      </c>
      <c r="B14" s="5">
        <v>4088</v>
      </c>
      <c r="C14" s="5" t="s">
        <v>52</v>
      </c>
      <c r="D14" s="5">
        <v>10932151</v>
      </c>
      <c r="E14" s="5" t="s">
        <v>52</v>
      </c>
      <c r="F14" s="5">
        <v>2447</v>
      </c>
      <c r="G14" s="5" t="s">
        <v>52</v>
      </c>
      <c r="H14" s="5">
        <v>313.56482992261328</v>
      </c>
      <c r="I14" s="5" t="s">
        <v>52</v>
      </c>
      <c r="J14" s="5">
        <v>996</v>
      </c>
    </row>
    <row r="15" spans="1:14" ht="15" thickBot="1" x14ac:dyDescent="0.4">
      <c r="A15" s="1" t="s">
        <v>53</v>
      </c>
      <c r="B15" s="1">
        <v>100</v>
      </c>
      <c r="C15" s="1" t="s">
        <v>53</v>
      </c>
      <c r="D15" s="1">
        <v>100</v>
      </c>
      <c r="E15" s="1" t="s">
        <v>53</v>
      </c>
      <c r="F15" s="1">
        <v>100</v>
      </c>
      <c r="G15" s="1" t="s">
        <v>53</v>
      </c>
      <c r="H15" s="1">
        <v>100</v>
      </c>
      <c r="I15" s="1" t="s">
        <v>53</v>
      </c>
      <c r="J15" s="1">
        <v>100</v>
      </c>
    </row>
    <row r="16" spans="1:14" x14ac:dyDescent="0.35">
      <c r="A16" s="2" t="s">
        <v>36</v>
      </c>
      <c r="B16" s="2"/>
      <c r="C16" s="2" t="s">
        <v>37</v>
      </c>
      <c r="D16" s="2"/>
      <c r="E16" s="2" t="s">
        <v>38</v>
      </c>
      <c r="F16" s="2"/>
      <c r="G16" s="2" t="s">
        <v>39</v>
      </c>
      <c r="H16" s="2"/>
      <c r="I16" s="2" t="s">
        <v>40</v>
      </c>
      <c r="J16" s="2"/>
    </row>
    <row r="17" spans="1:10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35">
      <c r="A18" s="5" t="s">
        <v>41</v>
      </c>
      <c r="B18" s="5">
        <v>1152.1896225282401</v>
      </c>
      <c r="C18" s="5" t="s">
        <v>41</v>
      </c>
      <c r="D18" s="5">
        <v>85966.929544152401</v>
      </c>
      <c r="E18" s="5" t="s">
        <v>41</v>
      </c>
      <c r="F18" s="5">
        <v>708.30018776437896</v>
      </c>
      <c r="G18" s="5" t="s">
        <v>41</v>
      </c>
      <c r="H18" s="5">
        <v>2.1936006033089099</v>
      </c>
      <c r="I18" s="5" t="s">
        <v>41</v>
      </c>
      <c r="J18" s="5">
        <v>304.91043704936402</v>
      </c>
    </row>
    <row r="19" spans="1:10" x14ac:dyDescent="0.35">
      <c r="A19" s="5" t="s">
        <v>42</v>
      </c>
      <c r="B19" s="5">
        <v>1265.48126586493</v>
      </c>
      <c r="C19" s="5" t="s">
        <v>42</v>
      </c>
      <c r="D19" s="5">
        <v>90318.924544152396</v>
      </c>
      <c r="E19" s="5" t="s">
        <v>42</v>
      </c>
      <c r="F19" s="5">
        <v>777.04960919184396</v>
      </c>
      <c r="G19" s="5" t="s">
        <v>42</v>
      </c>
      <c r="H19" s="5">
        <v>2.21764775310954</v>
      </c>
      <c r="I19" s="5" t="s">
        <v>42</v>
      </c>
      <c r="J19" s="5">
        <v>335.30521490125699</v>
      </c>
    </row>
    <row r="20" spans="1:10" x14ac:dyDescent="0.35">
      <c r="A20" s="5" t="s">
        <v>43</v>
      </c>
      <c r="B20" s="5">
        <v>1378.77290920161</v>
      </c>
      <c r="C20" s="5" t="s">
        <v>43</v>
      </c>
      <c r="D20" s="5">
        <v>94670.919544152406</v>
      </c>
      <c r="E20" s="5" t="s">
        <v>43</v>
      </c>
      <c r="F20" s="5">
        <v>845.79903061930497</v>
      </c>
      <c r="G20" s="5" t="s">
        <v>43</v>
      </c>
      <c r="H20" s="5">
        <v>2.2416949029101598</v>
      </c>
      <c r="I20" s="5" t="s">
        <v>43</v>
      </c>
      <c r="J20" s="5">
        <v>365.69999275315001</v>
      </c>
    </row>
    <row r="21" spans="1:10" x14ac:dyDescent="0.35">
      <c r="A21" s="5" t="s">
        <v>44</v>
      </c>
      <c r="B21" s="5">
        <v>1492.0645525382899</v>
      </c>
      <c r="C21" s="5" t="s">
        <v>44</v>
      </c>
      <c r="D21" s="5" t="e">
        <v>#N/A</v>
      </c>
      <c r="E21" s="5" t="s">
        <v>44</v>
      </c>
      <c r="F21" s="5">
        <v>914.54845204677497</v>
      </c>
      <c r="G21" s="5" t="s">
        <v>44</v>
      </c>
      <c r="H21" s="5" t="e">
        <v>#N/A</v>
      </c>
      <c r="I21" s="5" t="s">
        <v>44</v>
      </c>
      <c r="J21" s="5">
        <v>396.09477060504202</v>
      </c>
    </row>
    <row r="22" spans="1:10" x14ac:dyDescent="0.35">
      <c r="A22" s="5" t="s">
        <v>45</v>
      </c>
      <c r="B22" s="5">
        <v>1605.3561958749799</v>
      </c>
      <c r="C22" s="5" t="s">
        <v>45</v>
      </c>
      <c r="D22" s="5">
        <v>-270013010.005077</v>
      </c>
      <c r="E22" s="5" t="s">
        <v>45</v>
      </c>
      <c r="F22" s="5">
        <v>983.29787347423496</v>
      </c>
      <c r="G22" s="5" t="s">
        <v>45</v>
      </c>
      <c r="H22" s="5">
        <v>159.30142167796799</v>
      </c>
      <c r="I22" s="5" t="s">
        <v>45</v>
      </c>
      <c r="J22" s="5">
        <v>426.48954845693498</v>
      </c>
    </row>
    <row r="23" spans="1:10" x14ac:dyDescent="0.35">
      <c r="A23" s="5" t="s">
        <v>46</v>
      </c>
      <c r="B23" s="5">
        <v>1718.6478392116601</v>
      </c>
      <c r="C23" s="5" t="s">
        <v>46</v>
      </c>
      <c r="D23" s="5">
        <v>-368111223.83602399</v>
      </c>
      <c r="E23" s="5" t="s">
        <v>46</v>
      </c>
      <c r="F23" s="5">
        <v>1052.0472949017001</v>
      </c>
      <c r="G23" s="5" t="s">
        <v>46</v>
      </c>
      <c r="H23" s="5">
        <v>181.72338581789501</v>
      </c>
      <c r="I23" s="5" t="s">
        <v>46</v>
      </c>
      <c r="J23" s="5">
        <v>456.88432630882801</v>
      </c>
    </row>
    <row r="24" spans="1:10" x14ac:dyDescent="0.35">
      <c r="A24" s="5" t="s">
        <v>47</v>
      </c>
      <c r="B24" s="5">
        <v>1831.93948254835</v>
      </c>
      <c r="C24" s="5" t="s">
        <v>47</v>
      </c>
      <c r="D24" s="5">
        <v>-466209437.666969</v>
      </c>
      <c r="E24" s="5" t="s">
        <v>47</v>
      </c>
      <c r="F24" s="5">
        <v>1120.7967163291601</v>
      </c>
      <c r="G24" s="5" t="s">
        <v>47</v>
      </c>
      <c r="H24" s="5">
        <v>204.14534995782199</v>
      </c>
      <c r="I24" s="5" t="s">
        <v>47</v>
      </c>
      <c r="J24" s="5">
        <v>487.27910416072098</v>
      </c>
    </row>
    <row r="25" spans="1:10" x14ac:dyDescent="0.35">
      <c r="A25" s="5" t="s">
        <v>48</v>
      </c>
      <c r="B25" s="5">
        <v>1945.23112588503</v>
      </c>
      <c r="C25" s="5" t="s">
        <v>48</v>
      </c>
      <c r="D25" s="5">
        <v>-564307651.49791896</v>
      </c>
      <c r="E25" s="5" t="s">
        <v>48</v>
      </c>
      <c r="F25" s="5">
        <v>1189.5461377566301</v>
      </c>
      <c r="G25" s="5" t="s">
        <v>48</v>
      </c>
      <c r="H25" s="5">
        <v>226.56731409774801</v>
      </c>
      <c r="I25" s="5" t="s">
        <v>48</v>
      </c>
      <c r="J25" s="5">
        <v>517.67388201261303</v>
      </c>
    </row>
    <row r="26" spans="1:10" x14ac:dyDescent="0.35">
      <c r="A26" s="5" t="s">
        <v>49</v>
      </c>
      <c r="B26" s="5">
        <v>2058.52276922172</v>
      </c>
      <c r="C26" s="5" t="s">
        <v>49</v>
      </c>
      <c r="D26" s="5">
        <v>-662405865.32885897</v>
      </c>
      <c r="E26" s="5" t="s">
        <v>49</v>
      </c>
      <c r="F26" s="5">
        <v>1258.2955591840901</v>
      </c>
      <c r="G26" s="5" t="s">
        <v>49</v>
      </c>
      <c r="H26" s="5">
        <v>248.98927823767499</v>
      </c>
      <c r="I26" s="5" t="s">
        <v>49</v>
      </c>
      <c r="J26" s="5">
        <v>548.068659864506</v>
      </c>
    </row>
    <row r="27" spans="1:10" x14ac:dyDescent="0.35">
      <c r="A27" s="5" t="s">
        <v>50</v>
      </c>
      <c r="B27" s="5">
        <v>2171.8144125583999</v>
      </c>
      <c r="C27" s="5" t="s">
        <v>50</v>
      </c>
      <c r="D27" s="5">
        <v>-760504079.15980899</v>
      </c>
      <c r="E27" s="5" t="s">
        <v>50</v>
      </c>
      <c r="F27" s="5">
        <v>1327.04498061156</v>
      </c>
      <c r="G27" s="5" t="s">
        <v>50</v>
      </c>
      <c r="H27" s="5">
        <v>271.41124237760198</v>
      </c>
      <c r="I27" s="5" t="s">
        <v>50</v>
      </c>
      <c r="J27" s="5">
        <v>578.46343771639897</v>
      </c>
    </row>
    <row r="28" spans="1:10" x14ac:dyDescent="0.35">
      <c r="A28" s="5" t="s">
        <v>51</v>
      </c>
      <c r="B28" s="5">
        <v>2285.1060558950799</v>
      </c>
      <c r="C28" s="5" t="s">
        <v>51</v>
      </c>
      <c r="D28" s="5">
        <v>-858602292.99075902</v>
      </c>
      <c r="E28" s="5" t="s">
        <v>51</v>
      </c>
      <c r="F28" s="5">
        <v>1395.79440203902</v>
      </c>
      <c r="G28" s="5" t="s">
        <v>51</v>
      </c>
      <c r="H28" s="5">
        <v>293.83320651752803</v>
      </c>
      <c r="I28" s="5" t="s">
        <v>51</v>
      </c>
      <c r="J28" s="5">
        <v>608.85821556829205</v>
      </c>
    </row>
    <row r="29" spans="1:10" x14ac:dyDescent="0.35">
      <c r="A29" s="5" t="s">
        <v>52</v>
      </c>
      <c r="B29" s="5">
        <v>2398.3976992317698</v>
      </c>
      <c r="C29" s="5" t="s">
        <v>52</v>
      </c>
      <c r="D29" s="5">
        <v>-956700506.82169902</v>
      </c>
      <c r="E29" s="5" t="s">
        <v>52</v>
      </c>
      <c r="F29" s="5">
        <v>1464.54382346649</v>
      </c>
      <c r="G29" s="5" t="s">
        <v>52</v>
      </c>
      <c r="H29" s="5">
        <v>316.25517065745498</v>
      </c>
      <c r="I29" s="5" t="s">
        <v>52</v>
      </c>
      <c r="J29" s="5">
        <v>639.25299342018502</v>
      </c>
    </row>
    <row r="30" spans="1:10" ht="15" thickBot="1" x14ac:dyDescent="0.4">
      <c r="A30" s="1" t="s">
        <v>53</v>
      </c>
      <c r="B30" s="1">
        <v>2511.6893425684498</v>
      </c>
      <c r="C30" s="1" t="s">
        <v>53</v>
      </c>
      <c r="D30" s="1">
        <v>-1054798720.65265</v>
      </c>
      <c r="E30" s="1" t="s">
        <v>53</v>
      </c>
      <c r="F30" s="1">
        <v>1533.29324489395</v>
      </c>
      <c r="G30" s="1" t="s">
        <v>53</v>
      </c>
      <c r="H30" s="1">
        <v>338.677134797382</v>
      </c>
      <c r="I30" s="1" t="s">
        <v>53</v>
      </c>
      <c r="J30" s="1">
        <v>669.64777127207697</v>
      </c>
    </row>
    <row r="31" spans="1:10" x14ac:dyDescent="0.35">
      <c r="A31" s="2" t="s">
        <v>36</v>
      </c>
      <c r="B31" s="2"/>
      <c r="C31" s="2" t="s">
        <v>37</v>
      </c>
      <c r="D31" s="2"/>
      <c r="E31" s="2" t="s">
        <v>38</v>
      </c>
      <c r="F31" s="2"/>
      <c r="G31" s="2" t="s">
        <v>39</v>
      </c>
      <c r="H31" s="2"/>
      <c r="I31" s="2" t="s">
        <v>40</v>
      </c>
      <c r="J31" s="2"/>
    </row>
    <row r="32" spans="1:10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x14ac:dyDescent="0.35">
      <c r="A33" s="5" t="s">
        <v>41</v>
      </c>
      <c r="B33" s="5">
        <v>2624.9809859051402</v>
      </c>
      <c r="C33" s="5" t="s">
        <v>41</v>
      </c>
      <c r="D33" s="5">
        <v>99022.914544152402</v>
      </c>
      <c r="E33" s="5" t="s">
        <v>41</v>
      </c>
      <c r="F33" s="5">
        <v>1602.04266632142</v>
      </c>
      <c r="G33" s="5" t="s">
        <v>41</v>
      </c>
      <c r="H33" s="5">
        <v>2.2657420527107899</v>
      </c>
      <c r="I33" s="5" t="s">
        <v>41</v>
      </c>
      <c r="J33" s="5">
        <v>700.04254912397005</v>
      </c>
    </row>
    <row r="34" spans="1:10" x14ac:dyDescent="0.35">
      <c r="A34" s="5" t="s">
        <v>42</v>
      </c>
      <c r="B34" s="5">
        <v>2738.2726292418201</v>
      </c>
      <c r="C34" s="5" t="s">
        <v>42</v>
      </c>
      <c r="D34" s="5">
        <v>103374.909544152</v>
      </c>
      <c r="E34" s="5" t="s">
        <v>42</v>
      </c>
      <c r="F34" s="5">
        <v>1670.79208774888</v>
      </c>
      <c r="G34" s="5" t="s">
        <v>42</v>
      </c>
      <c r="H34" s="5">
        <v>2.2897892025114199</v>
      </c>
      <c r="I34" s="5" t="s">
        <v>42</v>
      </c>
      <c r="J34" s="5">
        <v>730.43732697586302</v>
      </c>
    </row>
    <row r="35" spans="1:10" x14ac:dyDescent="0.35">
      <c r="A35" s="5" t="s">
        <v>43</v>
      </c>
      <c r="B35" s="5">
        <v>2851.5642725785001</v>
      </c>
      <c r="C35" s="5" t="s">
        <v>43</v>
      </c>
      <c r="D35" s="5">
        <v>107726.904544152</v>
      </c>
      <c r="E35" s="5" t="s">
        <v>43</v>
      </c>
      <c r="F35" s="5">
        <v>1739.54150917635</v>
      </c>
      <c r="G35" s="5" t="s">
        <v>43</v>
      </c>
      <c r="H35" s="5">
        <v>2.31383635231205</v>
      </c>
      <c r="I35" s="5" t="s">
        <v>43</v>
      </c>
      <c r="J35" s="5">
        <v>760.83210482775598</v>
      </c>
    </row>
    <row r="36" spans="1:10" x14ac:dyDescent="0.35">
      <c r="A36" s="5" t="s">
        <v>44</v>
      </c>
      <c r="B36" s="5">
        <v>2964.8559159151901</v>
      </c>
      <c r="C36" s="5" t="s">
        <v>44</v>
      </c>
      <c r="D36" s="5" t="e">
        <v>#N/A</v>
      </c>
      <c r="E36" s="5" t="s">
        <v>44</v>
      </c>
      <c r="F36" s="5">
        <v>1808.29093060381</v>
      </c>
      <c r="G36" s="5" t="s">
        <v>44</v>
      </c>
      <c r="H36" s="5" t="e">
        <v>#N/A</v>
      </c>
      <c r="I36" s="5" t="s">
        <v>44</v>
      </c>
      <c r="J36" s="5">
        <v>791.22688267964895</v>
      </c>
    </row>
    <row r="37" spans="1:10" x14ac:dyDescent="0.35">
      <c r="A37" s="5" t="s">
        <v>45</v>
      </c>
      <c r="B37" s="5">
        <v>3078.14755925187</v>
      </c>
      <c r="C37" s="5" t="s">
        <v>45</v>
      </c>
      <c r="D37" s="5">
        <v>-1152896934.4835999</v>
      </c>
      <c r="E37" s="5" t="s">
        <v>45</v>
      </c>
      <c r="F37" s="5">
        <v>1877.04035203128</v>
      </c>
      <c r="G37" s="5" t="s">
        <v>45</v>
      </c>
      <c r="H37" s="5">
        <v>361.09909893730901</v>
      </c>
      <c r="I37" s="5" t="s">
        <v>45</v>
      </c>
      <c r="J37" s="5">
        <v>821.62166053154101</v>
      </c>
    </row>
    <row r="38" spans="1:10" x14ac:dyDescent="0.35">
      <c r="A38" s="5" t="s">
        <v>46</v>
      </c>
      <c r="B38" s="5">
        <v>3191.43920258856</v>
      </c>
      <c r="C38" s="5" t="s">
        <v>46</v>
      </c>
      <c r="D38" s="5">
        <v>-1250995148.3145399</v>
      </c>
      <c r="E38" s="5" t="s">
        <v>46</v>
      </c>
      <c r="F38" s="5">
        <v>1945.78977345874</v>
      </c>
      <c r="G38" s="5" t="s">
        <v>46</v>
      </c>
      <c r="H38" s="5">
        <v>383.521063077235</v>
      </c>
      <c r="I38" s="5" t="s">
        <v>46</v>
      </c>
      <c r="J38" s="5">
        <v>852.01643838343398</v>
      </c>
    </row>
    <row r="39" spans="1:10" x14ac:dyDescent="0.35">
      <c r="A39" s="5" t="s">
        <v>47</v>
      </c>
      <c r="B39" s="5">
        <v>3304.7308459252399</v>
      </c>
      <c r="C39" s="5" t="s">
        <v>47</v>
      </c>
      <c r="D39" s="5">
        <v>-1349093362.1454899</v>
      </c>
      <c r="E39" s="5" t="s">
        <v>47</v>
      </c>
      <c r="F39" s="5">
        <v>2014.53919488621</v>
      </c>
      <c r="G39" s="5" t="s">
        <v>47</v>
      </c>
      <c r="H39" s="5">
        <v>405.94302721716201</v>
      </c>
      <c r="I39" s="5" t="s">
        <v>47</v>
      </c>
      <c r="J39" s="5">
        <v>882.41121623532695</v>
      </c>
    </row>
    <row r="40" spans="1:10" x14ac:dyDescent="0.35">
      <c r="A40" s="5" t="s">
        <v>48</v>
      </c>
      <c r="B40" s="5">
        <v>3418.0224892619199</v>
      </c>
      <c r="C40" s="5" t="s">
        <v>48</v>
      </c>
      <c r="D40" s="5">
        <v>-1447191575.97644</v>
      </c>
      <c r="E40" s="5" t="s">
        <v>48</v>
      </c>
      <c r="F40" s="5">
        <v>2083.28861631367</v>
      </c>
      <c r="G40" s="5" t="s">
        <v>48</v>
      </c>
      <c r="H40" s="5">
        <v>428.36499135708902</v>
      </c>
      <c r="I40" s="5" t="s">
        <v>48</v>
      </c>
      <c r="J40" s="5">
        <v>912.80599408721798</v>
      </c>
    </row>
    <row r="41" spans="1:10" x14ac:dyDescent="0.35">
      <c r="A41" s="5" t="s">
        <v>49</v>
      </c>
      <c r="B41" s="5">
        <v>3531.3141325986098</v>
      </c>
      <c r="C41" s="5" t="s">
        <v>49</v>
      </c>
      <c r="D41" s="5">
        <v>-1545289789.80738</v>
      </c>
      <c r="E41" s="5" t="s">
        <v>49</v>
      </c>
      <c r="F41" s="5">
        <v>2152.0380377411402</v>
      </c>
      <c r="G41" s="5" t="s">
        <v>49</v>
      </c>
      <c r="H41" s="5">
        <v>450.78695549701501</v>
      </c>
      <c r="I41" s="5" t="s">
        <v>49</v>
      </c>
      <c r="J41" s="5">
        <v>943.20077193910799</v>
      </c>
    </row>
    <row r="42" spans="1:10" x14ac:dyDescent="0.35">
      <c r="A42" s="5" t="s">
        <v>50</v>
      </c>
      <c r="B42" s="5">
        <v>3644.6057759352898</v>
      </c>
      <c r="C42" s="5" t="s">
        <v>50</v>
      </c>
      <c r="D42" s="5">
        <v>-1643388003.63833</v>
      </c>
      <c r="E42" s="5" t="s">
        <v>50</v>
      </c>
      <c r="F42" s="5">
        <v>2220.7874591686</v>
      </c>
      <c r="G42" s="5" t="s">
        <v>50</v>
      </c>
      <c r="H42" s="5">
        <v>473.20891963694203</v>
      </c>
      <c r="I42" s="5" t="s">
        <v>50</v>
      </c>
      <c r="J42" s="5">
        <v>973.59554979100801</v>
      </c>
    </row>
    <row r="43" spans="1:10" x14ac:dyDescent="0.35">
      <c r="A43" s="5" t="s">
        <v>51</v>
      </c>
      <c r="B43" s="5">
        <v>3757.8974192719802</v>
      </c>
      <c r="C43" s="5" t="s">
        <v>51</v>
      </c>
      <c r="D43" s="5">
        <v>-1741486217.46928</v>
      </c>
      <c r="E43" s="5" t="s">
        <v>51</v>
      </c>
      <c r="F43" s="5">
        <v>2289.5368805960702</v>
      </c>
      <c r="G43" s="5" t="s">
        <v>51</v>
      </c>
      <c r="H43" s="5">
        <v>495.63088377686898</v>
      </c>
      <c r="I43" s="5" t="s">
        <v>51</v>
      </c>
      <c r="J43" s="5">
        <v>1003.9903276429</v>
      </c>
    </row>
    <row r="44" spans="1:10" x14ac:dyDescent="0.35">
      <c r="A44" s="5" t="s">
        <v>52</v>
      </c>
      <c r="B44" s="5">
        <v>3871.1890626086602</v>
      </c>
      <c r="C44" s="5" t="s">
        <v>52</v>
      </c>
      <c r="D44" s="5">
        <v>-1839584431.30022</v>
      </c>
      <c r="E44" s="5" t="s">
        <v>52</v>
      </c>
      <c r="F44" s="5">
        <v>2358.28630202353</v>
      </c>
      <c r="G44" s="5" t="s">
        <v>52</v>
      </c>
      <c r="H44" s="5">
        <v>518.05284791679503</v>
      </c>
      <c r="I44" s="5" t="s">
        <v>52</v>
      </c>
      <c r="J44" s="5">
        <v>1034.38510549479</v>
      </c>
    </row>
    <row r="45" spans="1:10" ht="15" thickBot="1" x14ac:dyDescent="0.4">
      <c r="A45" s="1" t="s">
        <v>53</v>
      </c>
      <c r="B45" s="1">
        <v>3984.4807059453401</v>
      </c>
      <c r="C45" s="1" t="s">
        <v>53</v>
      </c>
      <c r="D45" s="1">
        <v>-1937682645.13117</v>
      </c>
      <c r="E45" s="1" t="s">
        <v>53</v>
      </c>
      <c r="F45" s="1">
        <v>2427.0357234510002</v>
      </c>
      <c r="G45" s="1" t="s">
        <v>53</v>
      </c>
      <c r="H45" s="1">
        <v>540.47481205672204</v>
      </c>
      <c r="I45" s="1" t="s">
        <v>53</v>
      </c>
      <c r="J45" s="1">
        <v>1064.77988334669</v>
      </c>
    </row>
    <row r="46" spans="1:10" x14ac:dyDescent="0.35">
      <c r="A46" s="2" t="s">
        <v>36</v>
      </c>
      <c r="B46" s="2"/>
      <c r="C46" s="2" t="s">
        <v>37</v>
      </c>
      <c r="D46" s="2"/>
      <c r="E46" s="2" t="s">
        <v>38</v>
      </c>
      <c r="F46" s="2"/>
      <c r="G46" s="2" t="s">
        <v>39</v>
      </c>
      <c r="H46" s="2"/>
      <c r="I46" s="2" t="s">
        <v>40</v>
      </c>
      <c r="J46" s="2"/>
    </row>
    <row r="47" spans="1:10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35">
      <c r="A48" s="5" t="s">
        <v>41</v>
      </c>
      <c r="B48" s="5">
        <v>4097.7723492820296</v>
      </c>
      <c r="C48" s="5" t="s">
        <v>41</v>
      </c>
      <c r="D48" s="5">
        <v>112078.89954415199</v>
      </c>
      <c r="E48" s="5" t="s">
        <v>41</v>
      </c>
      <c r="F48" s="5">
        <v>2495.78514487846</v>
      </c>
      <c r="G48" s="5" t="s">
        <v>41</v>
      </c>
      <c r="H48" s="5">
        <v>2.33788350211268</v>
      </c>
      <c r="I48" s="5" t="s">
        <v>41</v>
      </c>
      <c r="J48" s="5">
        <v>1095.17466119858</v>
      </c>
    </row>
    <row r="49" spans="1:10" x14ac:dyDescent="0.35">
      <c r="A49" s="5" t="s">
        <v>42</v>
      </c>
      <c r="B49" s="5">
        <v>4211.0639926187096</v>
      </c>
      <c r="C49" s="5" t="s">
        <v>42</v>
      </c>
      <c r="D49" s="5">
        <v>116430.894544152</v>
      </c>
      <c r="E49" s="5" t="s">
        <v>42</v>
      </c>
      <c r="F49" s="5">
        <v>2564.5345663059302</v>
      </c>
      <c r="G49" s="5" t="s">
        <v>42</v>
      </c>
      <c r="H49" s="5">
        <v>2.3619306519133101</v>
      </c>
      <c r="I49" s="5" t="s">
        <v>42</v>
      </c>
      <c r="J49" s="5">
        <v>1125.56943905047</v>
      </c>
    </row>
    <row r="50" spans="1:10" x14ac:dyDescent="0.35">
      <c r="A50" s="5" t="s">
        <v>43</v>
      </c>
      <c r="B50" s="5">
        <v>4324.3556359554004</v>
      </c>
      <c r="C50" s="5" t="s">
        <v>43</v>
      </c>
      <c r="D50" s="5">
        <v>120782.889544152</v>
      </c>
      <c r="E50" s="5" t="s">
        <v>43</v>
      </c>
      <c r="F50" s="5">
        <v>2633.2839877333899</v>
      </c>
      <c r="G50" s="5" t="s">
        <v>43</v>
      </c>
      <c r="H50" s="5">
        <v>2.3859778017139299</v>
      </c>
      <c r="I50" s="5" t="s">
        <v>43</v>
      </c>
      <c r="J50" s="5">
        <v>1155.96421690236</v>
      </c>
    </row>
    <row r="51" spans="1:10" x14ac:dyDescent="0.35">
      <c r="A51" s="5" t="s">
        <v>44</v>
      </c>
      <c r="B51" s="5">
        <v>4437.6472792920804</v>
      </c>
      <c r="C51" s="5" t="s">
        <v>44</v>
      </c>
      <c r="D51" s="5" t="e">
        <v>#N/A</v>
      </c>
      <c r="E51" s="5" t="s">
        <v>44</v>
      </c>
      <c r="F51" s="5">
        <v>2702.0334091608602</v>
      </c>
      <c r="G51" s="5" t="s">
        <v>44</v>
      </c>
      <c r="H51" s="5" t="e">
        <v>#N/A</v>
      </c>
      <c r="I51" s="5" t="s">
        <v>44</v>
      </c>
      <c r="J51" s="5">
        <v>1186.35899475426</v>
      </c>
    </row>
    <row r="52" spans="1:10" x14ac:dyDescent="0.35">
      <c r="A52" s="5" t="s">
        <v>45</v>
      </c>
      <c r="B52" s="5">
        <v>4550.9389226287603</v>
      </c>
      <c r="C52" s="5" t="s">
        <v>45</v>
      </c>
      <c r="D52" s="5">
        <v>-2035780858.96211</v>
      </c>
      <c r="E52" s="5" t="s">
        <v>45</v>
      </c>
      <c r="F52" s="5">
        <v>2770.7828305883199</v>
      </c>
      <c r="G52" s="5" t="s">
        <v>45</v>
      </c>
      <c r="H52" s="5">
        <v>562.89677619664894</v>
      </c>
      <c r="I52" s="5" t="s">
        <v>45</v>
      </c>
      <c r="J52" s="5">
        <v>1216.7537726061501</v>
      </c>
    </row>
    <row r="53" spans="1:10" x14ac:dyDescent="0.35">
      <c r="A53" s="5" t="s">
        <v>46</v>
      </c>
      <c r="B53" s="5">
        <v>4664.2305659654503</v>
      </c>
      <c r="C53" s="5" t="s">
        <v>46</v>
      </c>
      <c r="D53" s="5">
        <v>-2133879072.7930601</v>
      </c>
      <c r="E53" s="5" t="s">
        <v>46</v>
      </c>
      <c r="F53" s="5">
        <v>2839.5322520157902</v>
      </c>
      <c r="G53" s="5" t="s">
        <v>46</v>
      </c>
      <c r="H53" s="5">
        <v>585.31874033657505</v>
      </c>
      <c r="I53" s="5" t="s">
        <v>46</v>
      </c>
      <c r="J53" s="5">
        <v>1247.1485504580401</v>
      </c>
    </row>
    <row r="54" spans="1:10" x14ac:dyDescent="0.35">
      <c r="A54" s="5" t="s">
        <v>47</v>
      </c>
      <c r="B54" s="5">
        <v>4777.5222093021302</v>
      </c>
      <c r="C54" s="5" t="s">
        <v>47</v>
      </c>
      <c r="D54" s="5">
        <v>-2231977286.6240101</v>
      </c>
      <c r="E54" s="5" t="s">
        <v>47</v>
      </c>
      <c r="F54" s="5">
        <v>2908.2816734432499</v>
      </c>
      <c r="G54" s="5" t="s">
        <v>47</v>
      </c>
      <c r="H54" s="5">
        <v>607.74070447650195</v>
      </c>
      <c r="I54" s="5" t="s">
        <v>47</v>
      </c>
      <c r="J54" s="5">
        <v>1277.5433283099301</v>
      </c>
    </row>
    <row r="55" spans="1:10" x14ac:dyDescent="0.35">
      <c r="A55" s="5" t="s">
        <v>48</v>
      </c>
      <c r="B55" s="5">
        <v>4890.8138526388202</v>
      </c>
      <c r="C55" s="5" t="s">
        <v>48</v>
      </c>
      <c r="D55" s="5">
        <v>-2330075500.4549499</v>
      </c>
      <c r="E55" s="5" t="s">
        <v>48</v>
      </c>
      <c r="F55" s="5">
        <v>2977.0310948707202</v>
      </c>
      <c r="G55" s="5" t="s">
        <v>48</v>
      </c>
      <c r="H55" s="5">
        <v>630.16266861642896</v>
      </c>
      <c r="I55" s="5" t="s">
        <v>48</v>
      </c>
      <c r="J55" s="5">
        <v>1307.9381061618301</v>
      </c>
    </row>
    <row r="56" spans="1:10" x14ac:dyDescent="0.35">
      <c r="A56" s="5" t="s">
        <v>49</v>
      </c>
      <c r="B56" s="5">
        <v>5004.1054959755002</v>
      </c>
      <c r="C56" s="5" t="s">
        <v>49</v>
      </c>
      <c r="D56" s="5">
        <v>-2428173714.2859001</v>
      </c>
      <c r="E56" s="5" t="s">
        <v>49</v>
      </c>
      <c r="F56" s="5">
        <v>3045.7805162981799</v>
      </c>
      <c r="G56" s="5" t="s">
        <v>49</v>
      </c>
      <c r="H56" s="5">
        <v>652.58463275635597</v>
      </c>
      <c r="I56" s="5" t="s">
        <v>49</v>
      </c>
      <c r="J56" s="5">
        <v>1338.3328840137201</v>
      </c>
    </row>
    <row r="57" spans="1:10" x14ac:dyDescent="0.35">
      <c r="A57" s="5" t="s">
        <v>50</v>
      </c>
      <c r="B57" s="5">
        <v>5117.3971393121901</v>
      </c>
      <c r="C57" s="5" t="s">
        <v>50</v>
      </c>
      <c r="D57" s="5">
        <v>-2526271928.1168499</v>
      </c>
      <c r="E57" s="5" t="s">
        <v>50</v>
      </c>
      <c r="F57" s="5">
        <v>3114.5299377256601</v>
      </c>
      <c r="G57" s="5" t="s">
        <v>50</v>
      </c>
      <c r="H57" s="5">
        <v>675.00659689628196</v>
      </c>
      <c r="I57" s="5" t="s">
        <v>50</v>
      </c>
      <c r="J57" s="5">
        <v>1368.7276618656099</v>
      </c>
    </row>
    <row r="58" spans="1:10" x14ac:dyDescent="0.35">
      <c r="A58" s="5" t="s">
        <v>51</v>
      </c>
      <c r="B58" s="5">
        <v>5230.6887826488701</v>
      </c>
      <c r="C58" s="5" t="s">
        <v>51</v>
      </c>
      <c r="D58" s="5">
        <v>-2624370141.9477901</v>
      </c>
      <c r="E58" s="5" t="s">
        <v>51</v>
      </c>
      <c r="F58" s="5">
        <v>3183.2793591531099</v>
      </c>
      <c r="G58" s="5" t="s">
        <v>51</v>
      </c>
      <c r="H58" s="5">
        <v>697.42856103620898</v>
      </c>
      <c r="I58" s="5" t="s">
        <v>51</v>
      </c>
      <c r="J58" s="5">
        <v>1399.1224397175099</v>
      </c>
    </row>
    <row r="59" spans="1:10" x14ac:dyDescent="0.35">
      <c r="A59" s="5" t="s">
        <v>52</v>
      </c>
      <c r="B59" s="5">
        <v>5343.98042598555</v>
      </c>
      <c r="C59" s="5" t="s">
        <v>52</v>
      </c>
      <c r="D59" s="5">
        <v>-2722468355.7787399</v>
      </c>
      <c r="E59" s="5" t="s">
        <v>52</v>
      </c>
      <c r="F59" s="5">
        <v>3252.0287805805801</v>
      </c>
      <c r="G59" s="5" t="s">
        <v>52</v>
      </c>
      <c r="H59" s="5">
        <v>719.85052517613599</v>
      </c>
      <c r="I59" s="5" t="s">
        <v>52</v>
      </c>
      <c r="J59" s="5">
        <v>1429.5172175693999</v>
      </c>
    </row>
    <row r="60" spans="1:10" ht="15" thickBot="1" x14ac:dyDescent="0.4">
      <c r="A60" s="1" t="s">
        <v>53</v>
      </c>
      <c r="B60" s="1">
        <v>5457.27206932224</v>
      </c>
      <c r="C60" s="1" t="s">
        <v>53</v>
      </c>
      <c r="D60" s="1">
        <v>-2820566569.6096902</v>
      </c>
      <c r="E60" s="1" t="s">
        <v>53</v>
      </c>
      <c r="F60" s="1">
        <v>3320.7782020080399</v>
      </c>
      <c r="G60" s="1" t="s">
        <v>53</v>
      </c>
      <c r="H60" s="1">
        <v>742.27248931606198</v>
      </c>
      <c r="I60" s="1" t="s">
        <v>53</v>
      </c>
      <c r="J60" s="1">
        <v>1459.9119954212899</v>
      </c>
    </row>
    <row r="61" spans="1:10" x14ac:dyDescent="0.35">
      <c r="A61" s="2" t="s">
        <v>36</v>
      </c>
      <c r="B61" s="2"/>
      <c r="C61" s="2" t="s">
        <v>37</v>
      </c>
      <c r="D61" s="2"/>
      <c r="E61" s="2" t="s">
        <v>38</v>
      </c>
      <c r="F61" s="2"/>
      <c r="G61" s="2" t="s">
        <v>39</v>
      </c>
      <c r="H61" s="2"/>
      <c r="I61" s="2" t="s">
        <v>40</v>
      </c>
      <c r="J61" s="2"/>
    </row>
    <row r="62" spans="1:10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35">
      <c r="A63" s="5" t="s">
        <v>41</v>
      </c>
      <c r="B63" s="5">
        <v>5570.5637126589199</v>
      </c>
      <c r="C63" s="5" t="s">
        <v>41</v>
      </c>
      <c r="D63" s="5">
        <v>125134.884544152</v>
      </c>
      <c r="E63" s="5" t="s">
        <v>41</v>
      </c>
      <c r="F63" s="5">
        <v>3389.5276234355201</v>
      </c>
      <c r="G63" s="5" t="s">
        <v>41</v>
      </c>
      <c r="H63" s="5">
        <v>2.41002495151456</v>
      </c>
      <c r="I63" s="5" t="s">
        <v>41</v>
      </c>
      <c r="J63" s="5">
        <v>1490.3067732731799</v>
      </c>
    </row>
    <row r="64" spans="1:10" x14ac:dyDescent="0.35">
      <c r="A64" s="5" t="s">
        <v>42</v>
      </c>
      <c r="B64" s="5">
        <v>5683.8553559955999</v>
      </c>
      <c r="C64" s="5" t="s">
        <v>42</v>
      </c>
      <c r="D64" s="5">
        <v>129486.87954415201</v>
      </c>
      <c r="E64" s="5" t="s">
        <v>42</v>
      </c>
      <c r="F64" s="5">
        <v>3458.2770448629699</v>
      </c>
      <c r="G64" s="5" t="s">
        <v>42</v>
      </c>
      <c r="H64" s="5">
        <v>2.43407210131519</v>
      </c>
      <c r="I64" s="5" t="s">
        <v>42</v>
      </c>
      <c r="J64" s="5">
        <v>1520.70155112508</v>
      </c>
    </row>
    <row r="65" spans="1:10" x14ac:dyDescent="0.35">
      <c r="A65" s="5" t="s">
        <v>43</v>
      </c>
      <c r="B65" s="5">
        <v>5797.1469993322899</v>
      </c>
      <c r="C65" s="5" t="s">
        <v>43</v>
      </c>
      <c r="D65" s="5">
        <v>133838.874544152</v>
      </c>
      <c r="E65" s="5" t="s">
        <v>43</v>
      </c>
      <c r="F65" s="5">
        <v>3527.0264662904401</v>
      </c>
      <c r="G65" s="5" t="s">
        <v>43</v>
      </c>
      <c r="H65" s="5">
        <v>2.4581192511158201</v>
      </c>
      <c r="I65" s="5" t="s">
        <v>43</v>
      </c>
      <c r="J65" s="5">
        <v>1551.09632897697</v>
      </c>
    </row>
    <row r="66" spans="1:10" x14ac:dyDescent="0.35">
      <c r="A66" s="5" t="s">
        <v>44</v>
      </c>
      <c r="B66" s="5">
        <v>5910.4386426689698</v>
      </c>
      <c r="C66" s="5" t="s">
        <v>44</v>
      </c>
      <c r="D66" s="5" t="e">
        <v>#N/A</v>
      </c>
      <c r="E66" s="5" t="s">
        <v>44</v>
      </c>
      <c r="F66" s="5">
        <v>3595.7758877178999</v>
      </c>
      <c r="G66" s="5" t="s">
        <v>44</v>
      </c>
      <c r="H66" s="5" t="e">
        <v>#N/A</v>
      </c>
      <c r="I66" s="5" t="s">
        <v>44</v>
      </c>
      <c r="J66" s="5">
        <v>1581.49110682886</v>
      </c>
    </row>
    <row r="67" spans="1:10" x14ac:dyDescent="0.35">
      <c r="A67" s="5" t="s">
        <v>45</v>
      </c>
      <c r="B67" s="5">
        <v>6023.7302860056598</v>
      </c>
      <c r="C67" s="5" t="s">
        <v>45</v>
      </c>
      <c r="D67" s="5">
        <v>-2918664783.44063</v>
      </c>
      <c r="E67" s="5" t="s">
        <v>45</v>
      </c>
      <c r="F67" s="5">
        <v>3664.5253091453801</v>
      </c>
      <c r="G67" s="5" t="s">
        <v>45</v>
      </c>
      <c r="H67" s="5">
        <v>764.69445345598899</v>
      </c>
      <c r="I67" s="5" t="s">
        <v>45</v>
      </c>
      <c r="J67" s="5">
        <v>1611.88588468076</v>
      </c>
    </row>
    <row r="68" spans="1:10" x14ac:dyDescent="0.35">
      <c r="A68" s="5" t="s">
        <v>46</v>
      </c>
      <c r="B68" s="5">
        <v>6137.0219293423397</v>
      </c>
      <c r="C68" s="5" t="s">
        <v>46</v>
      </c>
      <c r="D68" s="5">
        <v>-3016762997.2715802</v>
      </c>
      <c r="E68" s="5" t="s">
        <v>46</v>
      </c>
      <c r="F68" s="5">
        <v>3733.2747305728299</v>
      </c>
      <c r="G68" s="5" t="s">
        <v>46</v>
      </c>
      <c r="H68" s="5">
        <v>787.116417595916</v>
      </c>
      <c r="I68" s="5" t="s">
        <v>46</v>
      </c>
      <c r="J68" s="5">
        <v>1642.28066253265</v>
      </c>
    </row>
    <row r="69" spans="1:10" x14ac:dyDescent="0.35">
      <c r="A69" s="5" t="s">
        <v>47</v>
      </c>
      <c r="B69" s="5">
        <v>6250.3135726790297</v>
      </c>
      <c r="C69" s="5" t="s">
        <v>47</v>
      </c>
      <c r="D69" s="5">
        <v>-3114861211.10253</v>
      </c>
      <c r="E69" s="5" t="s">
        <v>47</v>
      </c>
      <c r="F69" s="5">
        <v>3802.0241520003001</v>
      </c>
      <c r="G69" s="5" t="s">
        <v>47</v>
      </c>
      <c r="H69" s="5">
        <v>809.53838173584199</v>
      </c>
      <c r="I69" s="5" t="s">
        <v>47</v>
      </c>
      <c r="J69" s="5">
        <v>1672.67544038454</v>
      </c>
    </row>
    <row r="70" spans="1:10" x14ac:dyDescent="0.35">
      <c r="A70" s="5" t="s">
        <v>48</v>
      </c>
      <c r="B70" s="5">
        <v>6363.6052160157096</v>
      </c>
      <c r="C70" s="5" t="s">
        <v>48</v>
      </c>
      <c r="D70" s="5">
        <v>-3212959424.9334698</v>
      </c>
      <c r="E70" s="5" t="s">
        <v>48</v>
      </c>
      <c r="F70" s="5">
        <v>3870.7735734277599</v>
      </c>
      <c r="G70" s="5" t="s">
        <v>48</v>
      </c>
      <c r="H70" s="5">
        <v>831.96034587576901</v>
      </c>
      <c r="I70" s="5" t="s">
        <v>48</v>
      </c>
      <c r="J70" s="5">
        <v>1703.07021823643</v>
      </c>
    </row>
    <row r="71" spans="1:10" x14ac:dyDescent="0.35">
      <c r="A71" s="5" t="s">
        <v>49</v>
      </c>
      <c r="B71" s="5">
        <v>6476.8968593523896</v>
      </c>
      <c r="C71" s="5" t="s">
        <v>49</v>
      </c>
      <c r="D71" s="5">
        <v>-3311057638.76442</v>
      </c>
      <c r="E71" s="5" t="s">
        <v>49</v>
      </c>
      <c r="F71" s="5">
        <v>3939.5229948552301</v>
      </c>
      <c r="G71" s="5" t="s">
        <v>49</v>
      </c>
      <c r="H71" s="5">
        <v>854.38231001569602</v>
      </c>
      <c r="I71" s="5" t="s">
        <v>49</v>
      </c>
      <c r="J71" s="5">
        <v>1733.4649960883301</v>
      </c>
    </row>
    <row r="72" spans="1:10" x14ac:dyDescent="0.35">
      <c r="A72" s="5" t="s">
        <v>50</v>
      </c>
      <c r="B72" s="5">
        <v>6590.1885026890805</v>
      </c>
      <c r="C72" s="5" t="s">
        <v>50</v>
      </c>
      <c r="D72" s="5">
        <v>-3409155852.5953598</v>
      </c>
      <c r="E72" s="5" t="s">
        <v>50</v>
      </c>
      <c r="F72" s="5">
        <v>4008.2724162826898</v>
      </c>
      <c r="G72" s="5" t="s">
        <v>50</v>
      </c>
      <c r="H72" s="5">
        <v>876.80427415562303</v>
      </c>
      <c r="I72" s="5" t="s">
        <v>50</v>
      </c>
      <c r="J72" s="5">
        <v>1763.8597739402201</v>
      </c>
    </row>
    <row r="73" spans="1:10" x14ac:dyDescent="0.35">
      <c r="A73" s="5" t="s">
        <v>51</v>
      </c>
      <c r="B73" s="5">
        <v>6703.4801460257604</v>
      </c>
      <c r="C73" s="5" t="s">
        <v>51</v>
      </c>
      <c r="D73" s="5">
        <v>-3507254066.4263101</v>
      </c>
      <c r="E73" s="5" t="s">
        <v>51</v>
      </c>
      <c r="F73" s="5">
        <v>4077.0218377101601</v>
      </c>
      <c r="G73" s="5" t="s">
        <v>51</v>
      </c>
      <c r="H73" s="5">
        <v>899.22623829554902</v>
      </c>
      <c r="I73" s="5" t="s">
        <v>51</v>
      </c>
      <c r="J73" s="5">
        <v>1794.2545517921101</v>
      </c>
    </row>
    <row r="74" spans="1:10" x14ac:dyDescent="0.35">
      <c r="A74" s="5" t="s">
        <v>52</v>
      </c>
      <c r="B74" s="5">
        <v>6816.7717893624504</v>
      </c>
      <c r="C74" s="5" t="s">
        <v>52</v>
      </c>
      <c r="D74" s="5">
        <v>-3605352280.2572598</v>
      </c>
      <c r="E74" s="5" t="s">
        <v>52</v>
      </c>
      <c r="F74" s="5">
        <v>4145.7712591376203</v>
      </c>
      <c r="G74" s="5" t="s">
        <v>52</v>
      </c>
      <c r="H74" s="5">
        <v>921.64820243547604</v>
      </c>
      <c r="I74" s="5" t="s">
        <v>52</v>
      </c>
      <c r="J74" s="5">
        <v>1824.6493296440001</v>
      </c>
    </row>
    <row r="75" spans="1:10" ht="15" thickBot="1" x14ac:dyDescent="0.4">
      <c r="A75" s="1" t="s">
        <v>53</v>
      </c>
      <c r="B75" s="1">
        <v>6930.0634326991303</v>
      </c>
      <c r="C75" s="1" t="s">
        <v>53</v>
      </c>
      <c r="D75" s="1">
        <v>-3703450494.0882001</v>
      </c>
      <c r="E75" s="1" t="s">
        <v>53</v>
      </c>
      <c r="F75" s="1">
        <v>4214.5206805650896</v>
      </c>
      <c r="G75" s="1" t="s">
        <v>53</v>
      </c>
      <c r="H75" s="1">
        <v>944.07016657540305</v>
      </c>
      <c r="I75" s="1" t="s">
        <v>53</v>
      </c>
      <c r="J75" s="1">
        <v>1855.0441074959001</v>
      </c>
    </row>
    <row r="76" spans="1:10" x14ac:dyDescent="0.35">
      <c r="A76" s="2" t="s">
        <v>36</v>
      </c>
      <c r="B76" s="2"/>
      <c r="C76" s="2" t="s">
        <v>37</v>
      </c>
      <c r="D76" s="2"/>
      <c r="E76" s="2" t="s">
        <v>38</v>
      </c>
      <c r="F76" s="2"/>
      <c r="G76" s="2" t="s">
        <v>39</v>
      </c>
      <c r="H76" s="2"/>
      <c r="I76" s="2" t="s">
        <v>40</v>
      </c>
      <c r="J76" s="2"/>
    </row>
    <row r="77" spans="1:10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x14ac:dyDescent="0.35">
      <c r="A78" s="5" t="s">
        <v>41</v>
      </c>
      <c r="B78" s="5">
        <v>7043.3550760358103</v>
      </c>
      <c r="C78" s="5" t="s">
        <v>41</v>
      </c>
      <c r="D78" s="5">
        <v>138190.869544152</v>
      </c>
      <c r="E78" s="5" t="s">
        <v>41</v>
      </c>
      <c r="F78" s="5">
        <v>4283.2701019925498</v>
      </c>
      <c r="G78" s="5" t="s">
        <v>41</v>
      </c>
      <c r="H78" s="5">
        <v>2.4821664009164501</v>
      </c>
      <c r="I78" s="5" t="s">
        <v>41</v>
      </c>
      <c r="J78" s="5">
        <v>1885.4388853477899</v>
      </c>
    </row>
    <row r="79" spans="1:10" x14ac:dyDescent="0.35">
      <c r="A79" s="5" t="s">
        <v>42</v>
      </c>
      <c r="B79" s="5">
        <v>7156.6467193725002</v>
      </c>
      <c r="C79" s="5" t="s">
        <v>42</v>
      </c>
      <c r="D79" s="5">
        <v>142542.86454415199</v>
      </c>
      <c r="E79" s="5" t="s">
        <v>42</v>
      </c>
      <c r="F79" s="5">
        <v>4352.0195234200201</v>
      </c>
      <c r="G79" s="5" t="s">
        <v>42</v>
      </c>
      <c r="H79" s="5">
        <v>2.5062135507170802</v>
      </c>
      <c r="I79" s="5" t="s">
        <v>42</v>
      </c>
      <c r="J79" s="5">
        <v>1915.8336631996799</v>
      </c>
    </row>
    <row r="80" spans="1:10" x14ac:dyDescent="0.35">
      <c r="A80" s="5" t="s">
        <v>43</v>
      </c>
      <c r="B80" s="5">
        <v>7269.9383627091802</v>
      </c>
      <c r="C80" s="5" t="s">
        <v>43</v>
      </c>
      <c r="D80" s="5">
        <v>146894.85954415199</v>
      </c>
      <c r="E80" s="5" t="s">
        <v>43</v>
      </c>
      <c r="F80" s="5">
        <v>4420.7689448474803</v>
      </c>
      <c r="G80" s="5" t="s">
        <v>43</v>
      </c>
      <c r="H80" s="5">
        <v>2.5302607005177</v>
      </c>
      <c r="I80" s="5" t="s">
        <v>43</v>
      </c>
      <c r="J80" s="5">
        <v>1946.2284410515799</v>
      </c>
    </row>
    <row r="81" spans="1:10" x14ac:dyDescent="0.35">
      <c r="A81" s="5" t="s">
        <v>44</v>
      </c>
      <c r="B81" s="5">
        <v>7383.2300060458701</v>
      </c>
      <c r="C81" s="5" t="s">
        <v>44</v>
      </c>
      <c r="D81" s="5" t="e">
        <v>#N/A</v>
      </c>
      <c r="E81" s="5" t="s">
        <v>44</v>
      </c>
      <c r="F81" s="5">
        <v>4489.5183662749496</v>
      </c>
      <c r="G81" s="5" t="s">
        <v>44</v>
      </c>
      <c r="H81" s="5" t="e">
        <v>#N/A</v>
      </c>
      <c r="I81" s="5" t="s">
        <v>44</v>
      </c>
      <c r="J81" s="5">
        <v>1976.6232189034699</v>
      </c>
    </row>
    <row r="82" spans="1:10" x14ac:dyDescent="0.35">
      <c r="A82" s="5" t="s">
        <v>45</v>
      </c>
      <c r="B82" s="5">
        <v>7496.5216493825501</v>
      </c>
      <c r="C82" s="5" t="s">
        <v>45</v>
      </c>
      <c r="D82" s="5">
        <v>-3801548707.9191499</v>
      </c>
      <c r="E82" s="5" t="s">
        <v>45</v>
      </c>
      <c r="F82" s="5">
        <v>4558.2677877024098</v>
      </c>
      <c r="G82" s="5" t="s">
        <v>45</v>
      </c>
      <c r="H82" s="5">
        <v>966.49213071532802</v>
      </c>
      <c r="I82" s="5" t="s">
        <v>45</v>
      </c>
      <c r="J82" s="5">
        <v>2007.0179967553599</v>
      </c>
    </row>
    <row r="83" spans="1:10" x14ac:dyDescent="0.35">
      <c r="A83" s="5" t="s">
        <v>46</v>
      </c>
      <c r="B83" s="5">
        <v>7609.81329271923</v>
      </c>
      <c r="C83" s="5" t="s">
        <v>46</v>
      </c>
      <c r="D83" s="5">
        <v>-3899646921.7501001</v>
      </c>
      <c r="E83" s="5" t="s">
        <v>46</v>
      </c>
      <c r="F83" s="5">
        <v>4627.01720912988</v>
      </c>
      <c r="G83" s="5" t="s">
        <v>46</v>
      </c>
      <c r="H83" s="5">
        <v>988.91409485525799</v>
      </c>
      <c r="I83" s="5" t="s">
        <v>46</v>
      </c>
      <c r="J83" s="5">
        <v>2037.41277460725</v>
      </c>
    </row>
    <row r="84" spans="1:10" x14ac:dyDescent="0.35">
      <c r="A84" s="5" t="s">
        <v>47</v>
      </c>
      <c r="B84" s="5">
        <v>7723.10493605592</v>
      </c>
      <c r="C84" s="5" t="s">
        <v>47</v>
      </c>
      <c r="D84" s="5">
        <v>-3997745135.5810399</v>
      </c>
      <c r="E84" s="5" t="s">
        <v>47</v>
      </c>
      <c r="F84" s="5">
        <v>4695.7666305573402</v>
      </c>
      <c r="G84" s="5" t="s">
        <v>47</v>
      </c>
      <c r="H84" s="5">
        <v>1011.33605899518</v>
      </c>
      <c r="I84" s="5" t="s">
        <v>47</v>
      </c>
      <c r="J84" s="5">
        <v>2067.80755245915</v>
      </c>
    </row>
    <row r="85" spans="1:10" x14ac:dyDescent="0.35">
      <c r="A85" s="5" t="s">
        <v>48</v>
      </c>
      <c r="B85" s="5">
        <v>7836.3965793926</v>
      </c>
      <c r="C85" s="5" t="s">
        <v>48</v>
      </c>
      <c r="D85" s="5">
        <v>-4095843349.4119902</v>
      </c>
      <c r="E85" s="5" t="s">
        <v>48</v>
      </c>
      <c r="F85" s="5">
        <v>4764.5160519848096</v>
      </c>
      <c r="G85" s="5" t="s">
        <v>48</v>
      </c>
      <c r="H85" s="5">
        <v>1033.7580231351101</v>
      </c>
      <c r="I85" s="5" t="s">
        <v>48</v>
      </c>
      <c r="J85" s="5">
        <v>2098.20233031104</v>
      </c>
    </row>
    <row r="86" spans="1:10" x14ac:dyDescent="0.35">
      <c r="A86" s="5" t="s">
        <v>49</v>
      </c>
      <c r="B86" s="5">
        <v>7949.6882227292899</v>
      </c>
      <c r="C86" s="5" t="s">
        <v>49</v>
      </c>
      <c r="D86" s="5">
        <v>-4193941563.2429399</v>
      </c>
      <c r="E86" s="5" t="s">
        <v>49</v>
      </c>
      <c r="F86" s="5">
        <v>4833.2654734122698</v>
      </c>
      <c r="G86" s="5" t="s">
        <v>49</v>
      </c>
      <c r="H86" s="5">
        <v>1056.17998727504</v>
      </c>
      <c r="I86" s="5" t="s">
        <v>49</v>
      </c>
      <c r="J86" s="5">
        <v>2128.59710816293</v>
      </c>
    </row>
    <row r="87" spans="1:10" x14ac:dyDescent="0.35">
      <c r="A87" s="5" t="s">
        <v>50</v>
      </c>
      <c r="B87" s="5">
        <v>8062.9798660659699</v>
      </c>
      <c r="C87" s="5" t="s">
        <v>50</v>
      </c>
      <c r="D87" s="5">
        <v>-4292039777.0738802</v>
      </c>
      <c r="E87" s="5" t="s">
        <v>50</v>
      </c>
      <c r="F87" s="5">
        <v>4902.01489483974</v>
      </c>
      <c r="G87" s="5" t="s">
        <v>50</v>
      </c>
      <c r="H87" s="5">
        <v>1078.60195141496</v>
      </c>
      <c r="I87" s="5" t="s">
        <v>50</v>
      </c>
      <c r="J87" s="5">
        <v>2158.99188601483</v>
      </c>
    </row>
    <row r="88" spans="1:10" x14ac:dyDescent="0.35">
      <c r="A88" s="5" t="s">
        <v>51</v>
      </c>
      <c r="B88" s="5">
        <v>8176.2715094026498</v>
      </c>
      <c r="C88" s="5" t="s">
        <v>51</v>
      </c>
      <c r="D88" s="5">
        <v>-4390137990.90483</v>
      </c>
      <c r="E88" s="5" t="s">
        <v>51</v>
      </c>
      <c r="F88" s="5">
        <v>4970.7643162672002</v>
      </c>
      <c r="G88" s="5" t="s">
        <v>51</v>
      </c>
      <c r="H88" s="5">
        <v>1101.02391555489</v>
      </c>
      <c r="I88" s="5" t="s">
        <v>51</v>
      </c>
      <c r="J88" s="5">
        <v>2189.38666386672</v>
      </c>
    </row>
    <row r="89" spans="1:10" x14ac:dyDescent="0.35">
      <c r="A89" s="5" t="s">
        <v>52</v>
      </c>
      <c r="B89" s="5">
        <v>8289.5631527393398</v>
      </c>
      <c r="C89" s="5" t="s">
        <v>52</v>
      </c>
      <c r="D89" s="5">
        <v>-4488236204.7357798</v>
      </c>
      <c r="E89" s="5" t="s">
        <v>52</v>
      </c>
      <c r="F89" s="5">
        <v>5039.5137376946705</v>
      </c>
      <c r="G89" s="5" t="s">
        <v>52</v>
      </c>
      <c r="H89" s="5">
        <v>1123.44587969482</v>
      </c>
      <c r="I89" s="5" t="s">
        <v>52</v>
      </c>
      <c r="J89" s="5">
        <v>2219.78144171861</v>
      </c>
    </row>
    <row r="90" spans="1:10" ht="15" thickBot="1" x14ac:dyDescent="0.4">
      <c r="A90" s="1" t="s">
        <v>53</v>
      </c>
      <c r="B90" s="1">
        <v>8402.8547960760206</v>
      </c>
      <c r="C90" s="1" t="s">
        <v>53</v>
      </c>
      <c r="D90" s="1">
        <v>-4586334418.56672</v>
      </c>
      <c r="E90" s="1" t="s">
        <v>53</v>
      </c>
      <c r="F90" s="1">
        <v>5108.2631591221298</v>
      </c>
      <c r="G90" s="1" t="s">
        <v>53</v>
      </c>
      <c r="H90" s="1">
        <v>1145.8678438347399</v>
      </c>
      <c r="I90" s="1" t="s">
        <v>53</v>
      </c>
      <c r="J90" s="1">
        <v>2250.1762195705001</v>
      </c>
    </row>
    <row r="91" spans="1:10" x14ac:dyDescent="0.35">
      <c r="A91" s="2" t="s">
        <v>36</v>
      </c>
      <c r="B91" s="2"/>
      <c r="C91" s="2" t="s">
        <v>37</v>
      </c>
      <c r="D91" s="2"/>
      <c r="E91" s="2" t="s">
        <v>38</v>
      </c>
      <c r="F91" s="2"/>
      <c r="G91" s="2" t="s">
        <v>39</v>
      </c>
      <c r="H91" s="2"/>
      <c r="I91" s="2" t="s">
        <v>40</v>
      </c>
      <c r="J91" s="2"/>
    </row>
    <row r="92" spans="1:10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x14ac:dyDescent="0.35">
      <c r="A93" s="5" t="s">
        <v>41</v>
      </c>
      <c r="B93" s="5">
        <v>8516.1464394127106</v>
      </c>
      <c r="C93" s="5" t="s">
        <v>41</v>
      </c>
      <c r="D93" s="5">
        <v>151246.85454415201</v>
      </c>
      <c r="E93" s="5" t="s">
        <v>41</v>
      </c>
      <c r="F93" s="5">
        <v>5177.0125805496</v>
      </c>
      <c r="G93" s="5" t="s">
        <v>41</v>
      </c>
      <c r="H93" s="5">
        <v>2.5543078503183301</v>
      </c>
      <c r="I93" s="5" t="s">
        <v>41</v>
      </c>
      <c r="J93" s="5">
        <v>2280.5709974224001</v>
      </c>
    </row>
    <row r="94" spans="1:10" x14ac:dyDescent="0.35">
      <c r="A94" s="5" t="s">
        <v>42</v>
      </c>
      <c r="B94" s="5">
        <v>8629.4380827493897</v>
      </c>
      <c r="C94" s="5" t="s">
        <v>42</v>
      </c>
      <c r="D94" s="5">
        <v>155598.84954415201</v>
      </c>
      <c r="E94" s="5" t="s">
        <v>42</v>
      </c>
      <c r="F94" s="5">
        <v>5245.7620019770602</v>
      </c>
      <c r="G94" s="5" t="s">
        <v>42</v>
      </c>
      <c r="H94" s="5">
        <v>2.5783550001189601</v>
      </c>
      <c r="I94" s="5" t="s">
        <v>42</v>
      </c>
      <c r="J94" s="5">
        <v>2310.9657752742901</v>
      </c>
    </row>
    <row r="95" spans="1:10" x14ac:dyDescent="0.35">
      <c r="A95" s="5" t="s">
        <v>43</v>
      </c>
      <c r="B95" s="5">
        <v>8742.7297260860796</v>
      </c>
      <c r="C95" s="5" t="s">
        <v>43</v>
      </c>
      <c r="D95" s="5">
        <v>159950.844544152</v>
      </c>
      <c r="E95" s="5" t="s">
        <v>43</v>
      </c>
      <c r="F95" s="5">
        <v>5314.5114234045304</v>
      </c>
      <c r="G95" s="5" t="s">
        <v>43</v>
      </c>
      <c r="H95" s="5">
        <v>2.6024021499195902</v>
      </c>
      <c r="I95" s="5" t="s">
        <v>43</v>
      </c>
      <c r="J95" s="5">
        <v>2341.3605531261801</v>
      </c>
    </row>
    <row r="96" spans="1:10" x14ac:dyDescent="0.35">
      <c r="A96" s="5" t="s">
        <v>44</v>
      </c>
      <c r="B96" s="5">
        <v>8856.0213694227605</v>
      </c>
      <c r="C96" s="5" t="s">
        <v>44</v>
      </c>
      <c r="D96" s="5" t="e">
        <v>#N/A</v>
      </c>
      <c r="E96" s="5" t="s">
        <v>44</v>
      </c>
      <c r="F96" s="5">
        <v>5383.2608448319897</v>
      </c>
      <c r="G96" s="5" t="s">
        <v>44</v>
      </c>
      <c r="H96" s="5" t="e">
        <v>#N/A</v>
      </c>
      <c r="I96" s="5" t="s">
        <v>44</v>
      </c>
      <c r="J96" s="5">
        <v>2371.7553309780701</v>
      </c>
    </row>
    <row r="97" spans="1:10" x14ac:dyDescent="0.35">
      <c r="A97" s="5" t="s">
        <v>45</v>
      </c>
      <c r="B97" s="5">
        <v>8969.3130127594395</v>
      </c>
      <c r="C97" s="5" t="s">
        <v>45</v>
      </c>
      <c r="D97" s="5">
        <v>-4684432632.3976698</v>
      </c>
      <c r="E97" s="5" t="s">
        <v>45</v>
      </c>
      <c r="F97" s="5">
        <v>5452.01026625946</v>
      </c>
      <c r="G97" s="5" t="s">
        <v>45</v>
      </c>
      <c r="H97" s="5">
        <v>1168.2898079746701</v>
      </c>
      <c r="I97" s="5" t="s">
        <v>45</v>
      </c>
      <c r="J97" s="5">
        <v>2402.1501088299701</v>
      </c>
    </row>
    <row r="98" spans="1:10" x14ac:dyDescent="0.35">
      <c r="A98" s="5" t="s">
        <v>46</v>
      </c>
      <c r="B98" s="5">
        <v>9082.6046560961295</v>
      </c>
      <c r="C98" s="5" t="s">
        <v>46</v>
      </c>
      <c r="D98" s="5">
        <v>-4782530846.22861</v>
      </c>
      <c r="E98" s="5" t="s">
        <v>46</v>
      </c>
      <c r="F98" s="5">
        <v>5520.7596876869202</v>
      </c>
      <c r="G98" s="5" t="s">
        <v>46</v>
      </c>
      <c r="H98" s="5">
        <v>1190.7117721146001</v>
      </c>
      <c r="I98" s="5" t="s">
        <v>46</v>
      </c>
      <c r="J98" s="5">
        <v>2432.5448866818601</v>
      </c>
    </row>
    <row r="99" spans="1:10" x14ac:dyDescent="0.35">
      <c r="A99" s="5" t="s">
        <v>47</v>
      </c>
      <c r="B99" s="5">
        <v>9195.8962994328103</v>
      </c>
      <c r="C99" s="5" t="s">
        <v>47</v>
      </c>
      <c r="D99" s="5">
        <v>-4880629060.0595598</v>
      </c>
      <c r="E99" s="5" t="s">
        <v>47</v>
      </c>
      <c r="F99" s="5">
        <v>5589.5091091143904</v>
      </c>
      <c r="G99" s="5" t="s">
        <v>47</v>
      </c>
      <c r="H99" s="5">
        <v>1213.13373625452</v>
      </c>
      <c r="I99" s="5" t="s">
        <v>47</v>
      </c>
      <c r="J99" s="5">
        <v>2462.9396645337501</v>
      </c>
    </row>
    <row r="100" spans="1:10" x14ac:dyDescent="0.35">
      <c r="A100" s="5" t="s">
        <v>48</v>
      </c>
      <c r="B100" s="5">
        <v>9309.1879427694894</v>
      </c>
      <c r="C100" s="5" t="s">
        <v>48</v>
      </c>
      <c r="D100" s="5">
        <v>-4978727273.8905096</v>
      </c>
      <c r="E100" s="5" t="s">
        <v>48</v>
      </c>
      <c r="F100" s="5">
        <v>5658.2585305418497</v>
      </c>
      <c r="G100" s="5" t="s">
        <v>48</v>
      </c>
      <c r="H100" s="5">
        <v>1235.55570039445</v>
      </c>
      <c r="I100" s="5" t="s">
        <v>48</v>
      </c>
      <c r="J100" s="5">
        <v>2493.3344423856502</v>
      </c>
    </row>
    <row r="101" spans="1:10" x14ac:dyDescent="0.35">
      <c r="A101" s="5" t="s">
        <v>49</v>
      </c>
      <c r="B101" s="5">
        <v>9422.4795861061793</v>
      </c>
      <c r="C101" s="5" t="s">
        <v>49</v>
      </c>
      <c r="D101" s="5">
        <v>-5076825487.7214499</v>
      </c>
      <c r="E101" s="5" t="s">
        <v>49</v>
      </c>
      <c r="F101" s="5">
        <v>5727.0079519693199</v>
      </c>
      <c r="G101" s="5" t="s">
        <v>49</v>
      </c>
      <c r="H101" s="5">
        <v>1257.97766453438</v>
      </c>
      <c r="I101" s="5" t="s">
        <v>49</v>
      </c>
      <c r="J101" s="5">
        <v>2523.7292202375402</v>
      </c>
    </row>
    <row r="102" spans="1:10" x14ac:dyDescent="0.35">
      <c r="A102" s="5" t="s">
        <v>50</v>
      </c>
      <c r="B102" s="5">
        <v>9535.7712294428602</v>
      </c>
      <c r="C102" s="5" t="s">
        <v>50</v>
      </c>
      <c r="D102" s="5">
        <v>-5174923701.5523996</v>
      </c>
      <c r="E102" s="5" t="s">
        <v>50</v>
      </c>
      <c r="F102" s="5">
        <v>5795.7573733967802</v>
      </c>
      <c r="G102" s="5" t="s">
        <v>50</v>
      </c>
      <c r="H102" s="5">
        <v>1280.39962867431</v>
      </c>
      <c r="I102" s="5" t="s">
        <v>50</v>
      </c>
      <c r="J102" s="5">
        <v>2554.1239980894302</v>
      </c>
    </row>
    <row r="103" spans="1:10" x14ac:dyDescent="0.35">
      <c r="A103" s="5" t="s">
        <v>51</v>
      </c>
      <c r="B103" s="5">
        <v>9649.0628727795502</v>
      </c>
      <c r="C103" s="5" t="s">
        <v>51</v>
      </c>
      <c r="D103" s="5">
        <v>-5273021915.3833504</v>
      </c>
      <c r="E103" s="5" t="s">
        <v>51</v>
      </c>
      <c r="F103" s="5">
        <v>5864.5067948242504</v>
      </c>
      <c r="G103" s="5" t="s">
        <v>51</v>
      </c>
      <c r="H103" s="5">
        <v>1302.8215928142299</v>
      </c>
      <c r="I103" s="5" t="s">
        <v>51</v>
      </c>
      <c r="J103" s="5">
        <v>2584.5187759413202</v>
      </c>
    </row>
    <row r="104" spans="1:10" x14ac:dyDescent="0.35">
      <c r="A104" s="5" t="s">
        <v>52</v>
      </c>
      <c r="B104" s="5">
        <v>9762.3545161162492</v>
      </c>
      <c r="C104" s="5" t="s">
        <v>52</v>
      </c>
      <c r="D104" s="5">
        <v>-5371120129.2142897</v>
      </c>
      <c r="E104" s="5" t="s">
        <v>52</v>
      </c>
      <c r="F104" s="5">
        <v>5933.2562162517097</v>
      </c>
      <c r="G104" s="5" t="s">
        <v>52</v>
      </c>
      <c r="H104" s="5">
        <v>1325.2435569541601</v>
      </c>
      <c r="I104" s="5" t="s">
        <v>52</v>
      </c>
      <c r="J104" s="5">
        <v>2614.9135537932202</v>
      </c>
    </row>
    <row r="105" spans="1:10" ht="15" thickBot="1" x14ac:dyDescent="0.4">
      <c r="A105" s="1" t="s">
        <v>53</v>
      </c>
      <c r="B105" s="1">
        <v>9875.6461594529501</v>
      </c>
      <c r="C105" s="1" t="s">
        <v>53</v>
      </c>
      <c r="D105" s="1">
        <v>-5469218343.0452404</v>
      </c>
      <c r="E105" s="1" t="s">
        <v>53</v>
      </c>
      <c r="F105" s="1">
        <v>6002.0056376791799</v>
      </c>
      <c r="G105" s="1" t="s">
        <v>53</v>
      </c>
      <c r="H105" s="1">
        <v>1347.6655210940901</v>
      </c>
      <c r="I105" s="1" t="s">
        <v>53</v>
      </c>
      <c r="J105" s="1">
        <v>2645.3083316451098</v>
      </c>
    </row>
    <row r="106" spans="1:10" x14ac:dyDescent="0.35">
      <c r="A106" s="2" t="s">
        <v>36</v>
      </c>
      <c r="B106" s="2"/>
      <c r="C106" s="2" t="s">
        <v>37</v>
      </c>
      <c r="D106" s="2"/>
      <c r="E106" s="2" t="s">
        <v>38</v>
      </c>
      <c r="F106" s="2"/>
      <c r="G106" s="2" t="s">
        <v>39</v>
      </c>
      <c r="H106" s="2"/>
      <c r="I106" s="2" t="s">
        <v>40</v>
      </c>
      <c r="J106" s="2"/>
    </row>
    <row r="107" spans="1:10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095C-FC41-45F8-9A2F-AC60786A3789}">
  <dimension ref="A1:J17"/>
  <sheetViews>
    <sheetView workbookViewId="0">
      <selection activeCell="I17" sqref="I17"/>
    </sheetView>
  </sheetViews>
  <sheetFormatPr defaultRowHeight="14.5" x14ac:dyDescent="0.35"/>
  <sheetData>
    <row r="1" spans="1:10" x14ac:dyDescent="0.35">
      <c r="A1" s="2"/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10" x14ac:dyDescent="0.35">
      <c r="A2" s="5" t="s">
        <v>8</v>
      </c>
      <c r="B2" s="5">
        <f>VARP('Assignment_Data7 to 10'!$A$2:$A$101)</f>
        <v>193.78559999999999</v>
      </c>
      <c r="C2" s="5"/>
      <c r="D2" s="5"/>
      <c r="E2" s="5"/>
      <c r="F2" s="5"/>
    </row>
    <row r="3" spans="1:10" x14ac:dyDescent="0.35">
      <c r="A3" s="5" t="s">
        <v>9</v>
      </c>
      <c r="B3" s="5">
        <v>-10863.968799999991</v>
      </c>
      <c r="C3" s="5">
        <f>VARP('Assignment_Data7 to 10'!$B$2:$B$101)</f>
        <v>1953236728.8099</v>
      </c>
      <c r="D3" s="5"/>
      <c r="E3" s="5"/>
      <c r="F3" s="5"/>
      <c r="J3" t="s">
        <v>57</v>
      </c>
    </row>
    <row r="4" spans="1:10" x14ac:dyDescent="0.35">
      <c r="A4" s="5" t="s">
        <v>10</v>
      </c>
      <c r="B4" s="5">
        <v>11.876399999999997</v>
      </c>
      <c r="C4" s="5">
        <v>-957.69970000002479</v>
      </c>
      <c r="D4" s="5">
        <f>VARP('Assignment_Data7 to 10'!$C$2:$C$101)</f>
        <v>193.88910000000001</v>
      </c>
      <c r="E4" s="5"/>
      <c r="F4" s="5"/>
    </row>
    <row r="5" spans="1:10" x14ac:dyDescent="0.35">
      <c r="A5" s="5" t="s">
        <v>11</v>
      </c>
      <c r="B5" s="5">
        <v>-1.7129646617456658</v>
      </c>
      <c r="C5" s="5">
        <v>-8462.2144988990713</v>
      </c>
      <c r="D5" s="5">
        <v>0.40447660390444262</v>
      </c>
      <c r="E5" s="5">
        <f>VARP('Assignment_Data7 to 10'!$D$2:$D$101)</f>
        <v>1.3581781731135736</v>
      </c>
      <c r="F5" s="5"/>
    </row>
    <row r="6" spans="1:10" ht="15" thickBot="1" x14ac:dyDescent="0.4">
      <c r="A6" s="1" t="s">
        <v>12</v>
      </c>
      <c r="B6" s="1">
        <v>-0.99479999999999935</v>
      </c>
      <c r="C6" s="1">
        <v>-20024.909599999999</v>
      </c>
      <c r="D6" s="1">
        <v>-13.051200000000001</v>
      </c>
      <c r="E6" s="1">
        <v>0.59528102165957852</v>
      </c>
      <c r="F6" s="1">
        <f>VARP('Assignment_Data7 to 10'!$E$2:$E$101)</f>
        <v>33.538400000000003</v>
      </c>
    </row>
    <row r="7" spans="1:10" x14ac:dyDescent="0.35">
      <c r="A7" s="2"/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</row>
    <row r="8" spans="1:10" x14ac:dyDescent="0.35">
      <c r="A8" s="5" t="s">
        <v>13</v>
      </c>
      <c r="B8" s="5">
        <f>VARP('Assignment_Data7 to 10'!$A$2:$A$101)</f>
        <v>193.78559999999999</v>
      </c>
      <c r="C8" s="5"/>
      <c r="D8" s="5"/>
      <c r="E8" s="5"/>
      <c r="F8" s="5"/>
    </row>
    <row r="9" spans="1:10" x14ac:dyDescent="0.35">
      <c r="A9" s="5" t="s">
        <v>14</v>
      </c>
      <c r="B9" s="5">
        <v>5430.1331176691301</v>
      </c>
      <c r="C9" s="5">
        <f>VARP('Assignment_Data7 to 10'!$B$2:$B$101)</f>
        <v>1953236728.8099</v>
      </c>
      <c r="D9" s="5"/>
      <c r="E9" s="5"/>
      <c r="F9" s="5"/>
    </row>
    <row r="10" spans="1:10" x14ac:dyDescent="0.35">
      <c r="A10" s="5" t="s">
        <v>15</v>
      </c>
      <c r="B10" s="5">
        <v>8687.6663812029292</v>
      </c>
      <c r="C10" s="5">
        <v>-28882.1511662997</v>
      </c>
      <c r="D10" s="5">
        <f>VARP('Assignment_Data7 to 10'!$C$2:$C$101)</f>
        <v>193.88910000000001</v>
      </c>
      <c r="E10" s="5"/>
      <c r="F10" s="5"/>
    </row>
    <row r="11" spans="1:10" x14ac:dyDescent="0.35">
      <c r="A11" s="5" t="s">
        <v>16</v>
      </c>
      <c r="B11" s="5">
        <v>11945.1996447367</v>
      </c>
      <c r="C11" s="5">
        <v>-38415.756116299599</v>
      </c>
      <c r="D11" s="5">
        <v>-26.506876603904502</v>
      </c>
      <c r="E11" s="5">
        <f>VARP('Assignment_Data7 to 10'!$D$2:$D$101)</f>
        <v>1.3581781731135736</v>
      </c>
      <c r="F11" s="5"/>
    </row>
    <row r="12" spans="1:10" ht="15" thickBot="1" x14ac:dyDescent="0.4">
      <c r="A12" s="1" t="s">
        <v>33</v>
      </c>
      <c r="B12" s="1">
        <v>15202.7329082706</v>
      </c>
      <c r="C12" s="1">
        <v>-47949.3610662996</v>
      </c>
      <c r="D12" s="1">
        <v>-39.962553207808902</v>
      </c>
      <c r="E12" s="1">
        <v>0.59528102165957852</v>
      </c>
      <c r="F12" s="1">
        <f>VARP('Assignment_Data7 to 10'!$E$2:$E$101)</f>
        <v>33.538400000000003</v>
      </c>
    </row>
    <row r="13" spans="1:10" x14ac:dyDescent="0.35">
      <c r="A13" s="2"/>
      <c r="B13" s="2" t="s">
        <v>8</v>
      </c>
      <c r="C13" s="2" t="s">
        <v>9</v>
      </c>
      <c r="D13" s="2" t="s">
        <v>10</v>
      </c>
      <c r="E13" s="2" t="s">
        <v>11</v>
      </c>
      <c r="F13" s="2" t="s">
        <v>12</v>
      </c>
    </row>
    <row r="14" spans="1:10" x14ac:dyDescent="0.35">
      <c r="A14" s="5" t="s">
        <v>34</v>
      </c>
      <c r="B14" s="5">
        <f>VARP('Assignment_Data7 to 10'!$A$2:$A$101)</f>
        <v>193.78559999999999</v>
      </c>
      <c r="C14" s="5"/>
      <c r="D14" s="5"/>
      <c r="E14" s="5"/>
      <c r="F14" s="5"/>
    </row>
    <row r="15" spans="1:10" x14ac:dyDescent="0.35">
      <c r="A15" s="5" t="s">
        <v>35</v>
      </c>
      <c r="B15" s="5">
        <v>18460.2661718044</v>
      </c>
      <c r="C15" s="5">
        <f>VARP('Assignment_Data7 to 10'!$B$2:$B$101)</f>
        <v>1953236728.8099</v>
      </c>
      <c r="D15" s="5"/>
      <c r="E15" s="5"/>
      <c r="F15" s="5"/>
    </row>
    <row r="16" spans="1:10" x14ac:dyDescent="0.35">
      <c r="A16" s="5" t="s">
        <v>54</v>
      </c>
      <c r="B16" s="5">
        <v>21717.799435338198</v>
      </c>
      <c r="C16" s="5">
        <v>-57482.966016299601</v>
      </c>
      <c r="D16" s="5">
        <f>VARP('Assignment_Data7 to 10'!$C$2:$C$101)</f>
        <v>193.88910000000001</v>
      </c>
      <c r="E16" s="5"/>
      <c r="F16" s="5"/>
    </row>
    <row r="17" spans="1:6" x14ac:dyDescent="0.35">
      <c r="A17" s="5" t="s">
        <v>55</v>
      </c>
      <c r="B17" s="5">
        <v>24975.332698872</v>
      </c>
      <c r="C17" s="5">
        <v>-67016.570966299594</v>
      </c>
      <c r="D17" s="5">
        <v>-53.418229811713402</v>
      </c>
      <c r="E17" s="5">
        <f>VARP('Assignment_Data7 to 10'!$D$2:$D$101)</f>
        <v>1.3581781731135736</v>
      </c>
      <c r="F17" s="5"/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12F9-C155-4219-9699-3FB6A32EA878}">
  <dimension ref="A1:I37"/>
  <sheetViews>
    <sheetView workbookViewId="0">
      <selection activeCell="I4" sqref="I4"/>
    </sheetView>
  </sheetViews>
  <sheetFormatPr defaultRowHeight="14.5" x14ac:dyDescent="0.35"/>
  <sheetData>
    <row r="1" spans="1:9" x14ac:dyDescent="0.35">
      <c r="A1" s="2"/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9" x14ac:dyDescent="0.35">
      <c r="A2" s="5" t="s">
        <v>8</v>
      </c>
      <c r="B2" s="5">
        <v>1</v>
      </c>
      <c r="C2" s="5"/>
      <c r="D2" s="5"/>
      <c r="E2" s="5"/>
      <c r="F2" s="5"/>
    </row>
    <row r="3" spans="1:9" x14ac:dyDescent="0.35">
      <c r="A3" s="5" t="s">
        <v>9</v>
      </c>
      <c r="B3" s="5">
        <v>-1.76583580121575E-2</v>
      </c>
      <c r="C3" s="5">
        <v>1</v>
      </c>
      <c r="D3" s="5"/>
      <c r="E3" s="5"/>
      <c r="F3" s="5"/>
      <c r="I3" t="s">
        <v>56</v>
      </c>
    </row>
    <row r="4" spans="1:9" x14ac:dyDescent="0.35">
      <c r="A4" s="5" t="s">
        <v>10</v>
      </c>
      <c r="B4" s="5">
        <v>6.1269927716477567E-2</v>
      </c>
      <c r="C4" s="5">
        <v>-1.5562351235101841E-3</v>
      </c>
      <c r="D4" s="5">
        <v>1</v>
      </c>
      <c r="E4" s="5"/>
      <c r="F4" s="5"/>
    </row>
    <row r="5" spans="1:9" x14ac:dyDescent="0.35">
      <c r="A5" s="5" t="s">
        <v>11</v>
      </c>
      <c r="B5" s="5">
        <v>-0.10558671521325771</v>
      </c>
      <c r="C5" s="5">
        <v>-0.16429646341884679</v>
      </c>
      <c r="D5" s="5">
        <v>2.4925181823867867E-2</v>
      </c>
      <c r="E5" s="5">
        <v>1</v>
      </c>
      <c r="F5" s="5"/>
    </row>
    <row r="6" spans="1:9" ht="15" thickBot="1" x14ac:dyDescent="0.4">
      <c r="A6" s="1" t="s">
        <v>12</v>
      </c>
      <c r="B6" s="1">
        <v>-1.2339678809961185E-2</v>
      </c>
      <c r="C6" s="1">
        <v>-7.8238758975678377E-2</v>
      </c>
      <c r="D6" s="1">
        <v>-0.16184622628463602</v>
      </c>
      <c r="E6" s="1">
        <v>8.8200793739324865E-2</v>
      </c>
      <c r="F6" s="1">
        <v>1</v>
      </c>
    </row>
    <row r="7" spans="1:9" x14ac:dyDescent="0.35">
      <c r="A7" s="2"/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</row>
    <row r="8" spans="1:9" x14ac:dyDescent="0.35">
      <c r="A8" s="5" t="s">
        <v>13</v>
      </c>
      <c r="B8" s="5">
        <v>-0.44864527931008502</v>
      </c>
      <c r="C8" s="5"/>
      <c r="D8" s="5"/>
      <c r="E8" s="5"/>
      <c r="F8" s="5"/>
    </row>
    <row r="9" spans="1:9" x14ac:dyDescent="0.35">
      <c r="A9" s="5" t="s">
        <v>14</v>
      </c>
      <c r="B9" s="5">
        <v>-0.65990605079218501</v>
      </c>
      <c r="C9" s="5">
        <v>-0.66038699068510298</v>
      </c>
      <c r="D9" s="5"/>
      <c r="E9" s="5"/>
      <c r="F9" s="5"/>
    </row>
    <row r="10" spans="1:9" x14ac:dyDescent="0.35">
      <c r="A10" s="5" t="s">
        <v>15</v>
      </c>
      <c r="B10" s="5">
        <v>-0.87116682227429498</v>
      </c>
      <c r="C10" s="5">
        <v>-1.0001326412073399</v>
      </c>
      <c r="D10" s="5">
        <v>-0.87415324110488801</v>
      </c>
      <c r="E10" s="5"/>
      <c r="F10" s="5"/>
    </row>
    <row r="11" spans="1:9" x14ac:dyDescent="0.35">
      <c r="A11" s="5" t="s">
        <v>16</v>
      </c>
      <c r="B11" s="5">
        <v>-1.0824275937564001</v>
      </c>
      <c r="C11" s="5">
        <v>-1.33987829172957</v>
      </c>
      <c r="D11" s="5">
        <v>-1.45507635424721</v>
      </c>
      <c r="E11" s="5">
        <v>-0.82359841252135002</v>
      </c>
      <c r="F11" s="5"/>
    </row>
    <row r="12" spans="1:9" ht="15" thickBot="1" x14ac:dyDescent="0.4">
      <c r="A12" s="1" t="s">
        <v>33</v>
      </c>
      <c r="B12" s="1">
        <v>-1.2936883652385001</v>
      </c>
      <c r="C12" s="1">
        <v>-1.67962394225181</v>
      </c>
      <c r="D12" s="1">
        <v>-2.0359994673895301</v>
      </c>
      <c r="E12" s="1">
        <v>-1.7353976187820299</v>
      </c>
      <c r="F12" s="1">
        <v>1</v>
      </c>
    </row>
    <row r="13" spans="1:9" x14ac:dyDescent="0.35">
      <c r="A13" s="2"/>
      <c r="B13" s="2" t="s">
        <v>8</v>
      </c>
      <c r="C13" s="2" t="s">
        <v>9</v>
      </c>
      <c r="D13" s="2" t="s">
        <v>10</v>
      </c>
      <c r="E13" s="2" t="s">
        <v>11</v>
      </c>
      <c r="F13" s="2" t="s">
        <v>12</v>
      </c>
    </row>
    <row r="14" spans="1:9" x14ac:dyDescent="0.35">
      <c r="A14" s="5" t="s">
        <v>34</v>
      </c>
      <c r="B14" s="5">
        <v>-1.5049491367206</v>
      </c>
      <c r="C14" s="5"/>
      <c r="D14" s="5"/>
      <c r="E14" s="5"/>
      <c r="F14" s="5"/>
    </row>
    <row r="15" spans="1:9" x14ac:dyDescent="0.35">
      <c r="A15" s="5" t="s">
        <v>35</v>
      </c>
      <c r="B15" s="5">
        <v>-1.7162099082027</v>
      </c>
      <c r="C15" s="5">
        <v>-2.01936959277405</v>
      </c>
      <c r="D15" s="5"/>
      <c r="E15" s="5"/>
      <c r="F15" s="5"/>
    </row>
    <row r="16" spans="1:9" x14ac:dyDescent="0.35">
      <c r="A16" s="5" t="s">
        <v>54</v>
      </c>
      <c r="B16" s="5">
        <v>-1.92747067968481</v>
      </c>
      <c r="C16" s="5">
        <v>-2.3591152432962801</v>
      </c>
      <c r="D16" s="5">
        <v>-2.6169225805318499</v>
      </c>
      <c r="E16" s="5"/>
      <c r="F16" s="5"/>
    </row>
    <row r="17" spans="1:6" x14ac:dyDescent="0.35">
      <c r="A17" s="5" t="s">
        <v>55</v>
      </c>
      <c r="B17" s="5">
        <v>-2.13873145116691</v>
      </c>
      <c r="C17" s="5">
        <v>-2.6988608938185199</v>
      </c>
      <c r="D17" s="5">
        <v>-3.1978456936741702</v>
      </c>
      <c r="E17" s="5">
        <v>-2.6471968250427</v>
      </c>
      <c r="F17" s="5"/>
    </row>
    <row r="18" spans="1:6" ht="15" thickBot="1" x14ac:dyDescent="0.4">
      <c r="A18" s="1" t="s">
        <v>62</v>
      </c>
      <c r="B18" s="1">
        <v>-2.3499922226490102</v>
      </c>
      <c r="C18" s="1">
        <v>-3.0386065443407602</v>
      </c>
      <c r="D18" s="1">
        <v>-3.77876880681649</v>
      </c>
      <c r="E18" s="1">
        <v>-3.5589960313033799</v>
      </c>
      <c r="F18" s="1">
        <v>1</v>
      </c>
    </row>
    <row r="19" spans="1:6" x14ac:dyDescent="0.35">
      <c r="A19" s="2"/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</row>
    <row r="20" spans="1:6" x14ac:dyDescent="0.35">
      <c r="A20" s="5" t="s">
        <v>63</v>
      </c>
      <c r="B20" s="5">
        <v>-2.56125299413111</v>
      </c>
      <c r="C20" s="5"/>
      <c r="D20" s="5"/>
      <c r="E20" s="5"/>
      <c r="F20" s="5"/>
    </row>
    <row r="21" spans="1:6" x14ac:dyDescent="0.35">
      <c r="A21" s="5" t="s">
        <v>64</v>
      </c>
      <c r="B21" s="5">
        <v>-2.7725137656132199</v>
      </c>
      <c r="C21" s="5">
        <v>-3.3783521948629902</v>
      </c>
      <c r="D21" s="5"/>
      <c r="E21" s="5"/>
      <c r="F21" s="5"/>
    </row>
    <row r="22" spans="1:6" x14ac:dyDescent="0.35">
      <c r="A22" s="5" t="s">
        <v>65</v>
      </c>
      <c r="B22" s="5">
        <v>-2.9837745370953201</v>
      </c>
      <c r="C22" s="5">
        <v>-3.71809784538523</v>
      </c>
      <c r="D22" s="5">
        <v>-4.3596919199587996</v>
      </c>
      <c r="E22" s="5"/>
      <c r="F22" s="5"/>
    </row>
    <row r="23" spans="1:6" x14ac:dyDescent="0.35">
      <c r="A23" s="5" t="s">
        <v>66</v>
      </c>
      <c r="B23" s="5">
        <v>-3.1950353085774199</v>
      </c>
      <c r="C23" s="5">
        <v>-4.0578434959074698</v>
      </c>
      <c r="D23" s="5">
        <v>-4.9406150331011203</v>
      </c>
      <c r="E23" s="5">
        <v>-4.4707952375640501</v>
      </c>
      <c r="F23" s="5"/>
    </row>
    <row r="24" spans="1:6" ht="15" thickBot="1" x14ac:dyDescent="0.4">
      <c r="A24" s="1" t="s">
        <v>67</v>
      </c>
      <c r="B24" s="1">
        <v>-3.4062960800595201</v>
      </c>
      <c r="C24" s="1">
        <v>-4.3975891464297101</v>
      </c>
      <c r="D24" s="1">
        <v>-5.5215381462434401</v>
      </c>
      <c r="E24" s="1">
        <v>-5.38259444382473</v>
      </c>
      <c r="F24" s="1">
        <v>1</v>
      </c>
    </row>
    <row r="25" spans="1:6" x14ac:dyDescent="0.35">
      <c r="A25" s="2"/>
      <c r="B25" s="2" t="s">
        <v>8</v>
      </c>
      <c r="C25" s="2" t="s">
        <v>9</v>
      </c>
      <c r="D25" s="2" t="s">
        <v>10</v>
      </c>
      <c r="E25" s="2" t="s">
        <v>11</v>
      </c>
      <c r="F25" s="2" t="s">
        <v>12</v>
      </c>
    </row>
    <row r="26" spans="1:6" x14ac:dyDescent="0.35">
      <c r="A26" s="5" t="s">
        <v>68</v>
      </c>
      <c r="B26" s="5">
        <v>-3.6175568515416101</v>
      </c>
      <c r="C26" s="5"/>
      <c r="D26" s="5"/>
      <c r="E26" s="5"/>
      <c r="F26" s="5"/>
    </row>
    <row r="27" spans="1:6" x14ac:dyDescent="0.35">
      <c r="A27" s="5" t="s">
        <v>69</v>
      </c>
      <c r="B27" s="5">
        <v>-3.8288176230237299</v>
      </c>
      <c r="C27" s="5">
        <v>-4.7373347969519397</v>
      </c>
      <c r="D27" s="5"/>
      <c r="E27" s="5"/>
      <c r="F27" s="5"/>
    </row>
    <row r="28" spans="1:6" x14ac:dyDescent="0.35">
      <c r="A28" s="5" t="s">
        <v>70</v>
      </c>
      <c r="B28" s="5">
        <v>-4.0400783945058203</v>
      </c>
      <c r="C28" s="5">
        <v>-5.07708044747418</v>
      </c>
      <c r="D28" s="5">
        <v>-6.1024612593857599</v>
      </c>
      <c r="E28" s="5"/>
      <c r="F28" s="5"/>
    </row>
    <row r="29" spans="1:6" x14ac:dyDescent="0.35">
      <c r="A29" s="5" t="s">
        <v>71</v>
      </c>
      <c r="B29" s="5">
        <v>-4.2513391659879298</v>
      </c>
      <c r="C29" s="5">
        <v>-5.4168260979964202</v>
      </c>
      <c r="D29" s="5">
        <v>-6.6833843725280797</v>
      </c>
      <c r="E29" s="5">
        <v>-6.2943936500854001</v>
      </c>
      <c r="F29" s="5"/>
    </row>
    <row r="30" spans="1:6" ht="15" thickBot="1" x14ac:dyDescent="0.4">
      <c r="A30" s="1" t="s">
        <v>72</v>
      </c>
      <c r="B30" s="1">
        <v>-4.4625999374700296</v>
      </c>
      <c r="C30" s="1">
        <v>-5.7565717485186498</v>
      </c>
      <c r="D30" s="1">
        <v>-7.2643074856703898</v>
      </c>
      <c r="E30" s="1">
        <v>-7.20619285634608</v>
      </c>
      <c r="F30" s="1">
        <v>1</v>
      </c>
    </row>
    <row r="31" spans="1:6" x14ac:dyDescent="0.35">
      <c r="A31" s="2"/>
      <c r="B31" s="2" t="s">
        <v>8</v>
      </c>
      <c r="C31" s="2" t="s">
        <v>9</v>
      </c>
      <c r="D31" s="2" t="s">
        <v>10</v>
      </c>
      <c r="E31" s="2" t="s">
        <v>11</v>
      </c>
      <c r="F31" s="2" t="s">
        <v>12</v>
      </c>
    </row>
    <row r="32" spans="1:6" x14ac:dyDescent="0.35">
      <c r="A32" s="5" t="s">
        <v>73</v>
      </c>
      <c r="B32" s="5">
        <v>-4.67386070895214</v>
      </c>
      <c r="C32" s="5"/>
      <c r="D32" s="5"/>
      <c r="E32" s="5"/>
      <c r="F32" s="5"/>
    </row>
    <row r="33" spans="1:6" x14ac:dyDescent="0.35">
      <c r="A33" s="5" t="s">
        <v>74</v>
      </c>
      <c r="B33" s="5">
        <v>-4.88512148043423</v>
      </c>
      <c r="C33" s="5">
        <v>-6.0963173990408901</v>
      </c>
      <c r="D33" s="5"/>
      <c r="E33" s="5"/>
      <c r="F33" s="5"/>
    </row>
    <row r="34" spans="1:6" x14ac:dyDescent="0.35">
      <c r="A34" s="5" t="s">
        <v>75</v>
      </c>
      <c r="B34" s="5">
        <v>-5.0963822519163404</v>
      </c>
      <c r="C34" s="5">
        <v>-6.4360630495631304</v>
      </c>
      <c r="D34" s="5">
        <v>-7.8452305988127096</v>
      </c>
      <c r="E34" s="5"/>
      <c r="F34" s="5"/>
    </row>
    <row r="35" spans="1:6" x14ac:dyDescent="0.35">
      <c r="A35" s="5" t="s">
        <v>76</v>
      </c>
      <c r="B35" s="5">
        <v>-5.3076430233984402</v>
      </c>
      <c r="C35" s="5">
        <v>-6.7758087000853697</v>
      </c>
      <c r="D35" s="5">
        <v>-8.4261537119550294</v>
      </c>
      <c r="E35" s="5">
        <v>-8.1179920626067492</v>
      </c>
      <c r="F35" s="5"/>
    </row>
    <row r="36" spans="1:6" ht="15" thickBot="1" x14ac:dyDescent="0.4">
      <c r="A36" s="1" t="s">
        <v>77</v>
      </c>
      <c r="B36" s="1">
        <v>-5.5189037948805302</v>
      </c>
      <c r="C36" s="1">
        <v>-7.1155543506076002</v>
      </c>
      <c r="D36" s="1">
        <v>-9.0070768250973501</v>
      </c>
      <c r="E36" s="1">
        <v>-9.0297912688674007</v>
      </c>
      <c r="F36" s="1">
        <v>1</v>
      </c>
    </row>
    <row r="37" spans="1:6" x14ac:dyDescent="0.35">
      <c r="A37" s="2"/>
      <c r="B37" s="2" t="s">
        <v>8</v>
      </c>
      <c r="C37" s="2" t="s">
        <v>9</v>
      </c>
      <c r="D37" s="2" t="s">
        <v>10</v>
      </c>
      <c r="E37" s="2" t="s">
        <v>11</v>
      </c>
      <c r="F37" s="2" t="s">
        <v>12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</vt:lpstr>
      <vt:lpstr>Assignment_Data7 to 10</vt:lpstr>
      <vt:lpstr>Summary statistics</vt:lpstr>
      <vt:lpstr>covariance </vt:lpstr>
      <vt:lpstr>Corelation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Ekta Aggarwal</cp:lastModifiedBy>
  <dcterms:created xsi:type="dcterms:W3CDTF">2026-01-09T11:23:19Z</dcterms:created>
  <dcterms:modified xsi:type="dcterms:W3CDTF">2026-01-21T08:41:52Z</dcterms:modified>
</cp:coreProperties>
</file>